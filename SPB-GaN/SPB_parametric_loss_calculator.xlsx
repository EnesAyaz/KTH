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KTH\SPB-GaN\"/>
    </mc:Choice>
  </mc:AlternateContent>
  <xr:revisionPtr revIDLastSave="0" documentId="13_ncr:1_{A3B547AA-BDD7-4B8E-92DA-EB546E7BFC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B Loss Calculator" sheetId="1" r:id="rId1"/>
    <sheet name="Sensitivity" sheetId="2" r:id="rId2"/>
    <sheet name="Assumptions &amp; 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/>
  <c r="B26" i="1"/>
  <c r="A44" i="1"/>
  <c r="A43" i="1"/>
  <c r="A42" i="1"/>
  <c r="A41" i="1"/>
  <c r="A40" i="1"/>
  <c r="A39" i="1"/>
  <c r="A38" i="1"/>
  <c r="A37" i="1"/>
  <c r="A36" i="1"/>
  <c r="A45" i="1"/>
  <c r="H13" i="2"/>
  <c r="G13" i="2"/>
  <c r="F13" i="2"/>
  <c r="E13" i="2"/>
  <c r="D13" i="2"/>
  <c r="C13" i="2"/>
  <c r="B13" i="2"/>
  <c r="H12" i="2"/>
  <c r="G12" i="2"/>
  <c r="F12" i="2"/>
  <c r="E12" i="2"/>
  <c r="D12" i="2"/>
  <c r="C12" i="2"/>
  <c r="B12" i="2"/>
  <c r="H11" i="2"/>
  <c r="G11" i="2"/>
  <c r="F11" i="2"/>
  <c r="E11" i="2"/>
  <c r="D11" i="2"/>
  <c r="C11" i="2"/>
  <c r="B11" i="2"/>
  <c r="H10" i="2"/>
  <c r="G10" i="2"/>
  <c r="F10" i="2"/>
  <c r="E10" i="2"/>
  <c r="D10" i="2"/>
  <c r="C10" i="2"/>
  <c r="B10" i="2"/>
  <c r="H9" i="2"/>
  <c r="G9" i="2"/>
  <c r="F9" i="2"/>
  <c r="E9" i="2"/>
  <c r="D9" i="2"/>
  <c r="C9" i="2"/>
  <c r="B9" i="2"/>
  <c r="H8" i="2"/>
  <c r="G8" i="2"/>
  <c r="F8" i="2"/>
  <c r="E8" i="2"/>
  <c r="D8" i="2"/>
  <c r="C8" i="2"/>
  <c r="B8" i="2"/>
  <c r="H7" i="2"/>
  <c r="G7" i="2"/>
  <c r="F7" i="2"/>
  <c r="E7" i="2"/>
  <c r="D7" i="2"/>
  <c r="C7" i="2"/>
  <c r="B7" i="2"/>
  <c r="H6" i="2"/>
  <c r="G6" i="2"/>
  <c r="F6" i="2"/>
  <c r="E6" i="2"/>
  <c r="D6" i="2"/>
  <c r="C6" i="2"/>
  <c r="B6" i="2"/>
  <c r="B31" i="1"/>
  <c r="B30" i="1"/>
  <c r="B27" i="1"/>
  <c r="K7" i="1" s="1"/>
  <c r="B24" i="1"/>
  <c r="N7" i="1"/>
  <c r="K3" i="1"/>
  <c r="K6" i="1" l="1"/>
  <c r="B28" i="1"/>
  <c r="K4" i="1" s="1"/>
  <c r="B25" i="1"/>
  <c r="K5" i="1" l="1"/>
  <c r="B29" i="1"/>
  <c r="F25" i="1"/>
  <c r="B44" i="1" l="1"/>
  <c r="B41" i="1"/>
  <c r="B38" i="1"/>
  <c r="B45" i="1"/>
  <c r="B42" i="1"/>
  <c r="B39" i="1"/>
  <c r="B36" i="1"/>
  <c r="B40" i="1"/>
  <c r="B43" i="1"/>
  <c r="B37" i="1"/>
  <c r="N5" i="1"/>
  <c r="C44" i="1"/>
  <c r="C38" i="1"/>
  <c r="C41" i="1"/>
  <c r="F26" i="1"/>
  <c r="N6" i="1" s="1"/>
  <c r="C36" i="1"/>
  <c r="C39" i="1"/>
  <c r="C45" i="1"/>
  <c r="C37" i="1"/>
  <c r="C43" i="1"/>
  <c r="C42" i="1"/>
  <c r="C40" i="1"/>
  <c r="D38" i="1" l="1"/>
  <c r="E38" i="1" s="1"/>
  <c r="D37" i="1"/>
  <c r="E37" i="1" s="1"/>
  <c r="F27" i="1"/>
  <c r="F31" i="1" s="1"/>
  <c r="D36" i="1"/>
  <c r="E36" i="1" s="1"/>
  <c r="D39" i="1"/>
  <c r="E39" i="1" s="1"/>
  <c r="D45" i="1"/>
  <c r="E45" i="1" s="1"/>
  <c r="D43" i="1"/>
  <c r="E43" i="1" s="1"/>
  <c r="D40" i="1"/>
  <c r="E40" i="1" s="1"/>
  <c r="D42" i="1"/>
  <c r="E42" i="1" s="1"/>
  <c r="D41" i="1"/>
  <c r="E41" i="1" s="1"/>
  <c r="D44" i="1"/>
  <c r="E44" i="1" s="1"/>
  <c r="K8" i="1" l="1"/>
  <c r="F30" i="1"/>
  <c r="F28" i="1"/>
  <c r="F29" i="1" s="1"/>
  <c r="N3" i="1" s="1"/>
  <c r="N8" i="1"/>
  <c r="N4" i="1"/>
</calcChain>
</file>

<file path=xl/sharedStrings.xml><?xml version="1.0" encoding="utf-8"?>
<sst xmlns="http://schemas.openxmlformats.org/spreadsheetml/2006/main" count="125" uniqueCount="98">
  <si>
    <t>Parametric Basic Loss Calculator for SPB / Modular Three-Phase Inverter</t>
  </si>
  <si>
    <t>Quick Summary</t>
  </si>
  <si>
    <t>Enter only the yellow cells. Output cells update by formula. Energy inputs are assumed in mJ per switching event at the reference voltage/current.</t>
  </si>
  <si>
    <t>Module Vdc</t>
  </si>
  <si>
    <t>V</t>
  </si>
  <si>
    <t>Efficiency</t>
  </si>
  <si>
    <t>System inputs</t>
  </si>
  <si>
    <t>Device V rating</t>
  </si>
  <si>
    <t>Total loss</t>
  </si>
  <si>
    <t>Total DC-link voltage</t>
  </si>
  <si>
    <t>Total battery/DC-link voltage applied to series SPB stack</t>
  </si>
  <si>
    <t>Phase current</t>
  </si>
  <si>
    <t>Arms</t>
  </si>
  <si>
    <t>Cond. loss</t>
  </si>
  <si>
    <t>Number of series SPB modules</t>
  </si>
  <si>
    <t>-</t>
  </si>
  <si>
    <t>Number of cascaded three-phase bridge submodules</t>
  </si>
  <si>
    <t>Switches</t>
  </si>
  <si>
    <t>Sw. loss</t>
  </si>
  <si>
    <t>Output power</t>
  </si>
  <si>
    <t>kW</t>
  </si>
  <si>
    <t>Mechanical/electrical output power used for inverter efficiency calculation</t>
  </si>
  <si>
    <t>Input DC current</t>
  </si>
  <si>
    <t>A</t>
  </si>
  <si>
    <t>Module power</t>
  </si>
  <si>
    <t>Power factor</t>
  </si>
  <si>
    <t>Used to estimate phase current from P = √3·VLL,rms·I·pf</t>
  </si>
  <si>
    <t>Loss / module</t>
  </si>
  <si>
    <t>W</t>
  </si>
  <si>
    <t>Loss / switch avg.</t>
  </si>
  <si>
    <t>Modulation index</t>
  </si>
  <si>
    <t>Sinusoidal PWM fundamental modulation index; 1.154 possible with zero-sequence extension</t>
  </si>
  <si>
    <t>Device voltage margin</t>
  </si>
  <si>
    <t>pu</t>
  </si>
  <si>
    <t>Suggested device blocking rating = Vmodule × margin</t>
  </si>
  <si>
    <t>Device current margin</t>
  </si>
  <si>
    <t>Suggested current rating = Irms × margin</t>
  </si>
  <si>
    <t>Device / switching inputs</t>
  </si>
  <si>
    <t>Eon per switch @ reference</t>
  </si>
  <si>
    <t>mJ</t>
  </si>
  <si>
    <t>Turn-on energy of one device at Vref/Iref</t>
  </si>
  <si>
    <t>Eoff per switch @ reference</t>
  </si>
  <si>
    <t>Turn-off energy of one device at Vref/Iref</t>
  </si>
  <si>
    <t>Rds(on) per switch</t>
  </si>
  <si>
    <t>mΩ</t>
  </si>
  <si>
    <t>On-state resistance of one switch at selected temperature</t>
  </si>
  <si>
    <t>Switching frequency</t>
  </si>
  <si>
    <t>kHz</t>
  </si>
  <si>
    <t>PWM switching frequency per submodule</t>
  </si>
  <si>
    <t>Reference voltage for Eon/Eoff</t>
  </si>
  <si>
    <t>Datasheet/test voltage for switching energy</t>
  </si>
  <si>
    <t>Reference current for Eon/Eoff</t>
  </si>
  <si>
    <t>Datasheet/test current for switching energy</t>
  </si>
  <si>
    <t>Energy voltage exponent</t>
  </si>
  <si>
    <t>Use 1 for linear voltage scaling</t>
  </si>
  <si>
    <t>Energy current exponent</t>
  </si>
  <si>
    <t>Use 1 for linear current scaling</t>
  </si>
  <si>
    <t>Additional fixed losses</t>
  </si>
  <si>
    <t>Optional control/gate-drive/cooling/auxiliary losses</t>
  </si>
  <si>
    <t>Calculated ratings</t>
  </si>
  <si>
    <t>Loss results</t>
  </si>
  <si>
    <t>DC voltage per SPB module</t>
  </si>
  <si>
    <t>Conduction loss total</t>
  </si>
  <si>
    <t>Fundamental VLL,rms per module</t>
  </si>
  <si>
    <t>Switching energy scaled</t>
  </si>
  <si>
    <t>mJ/event</t>
  </si>
  <si>
    <t>Estimated AC phase current per module</t>
  </si>
  <si>
    <t>Switching loss total</t>
  </si>
  <si>
    <t>DC input current, ideal</t>
  </si>
  <si>
    <t>Total inverter loss</t>
  </si>
  <si>
    <t>Suggested device blocking rating</t>
  </si>
  <si>
    <t>Input power including losses</t>
  </si>
  <si>
    <t>Suggested device current rating</t>
  </si>
  <si>
    <t>%</t>
  </si>
  <si>
    <t>Total number of switches</t>
  </si>
  <si>
    <t>Loss share: conduction</t>
  </si>
  <si>
    <t>Module output power</t>
  </si>
  <si>
    <t>Loss share: switching</t>
  </si>
  <si>
    <t>Switching frequency sweep</t>
  </si>
  <si>
    <t>fsw (kHz)</t>
  </si>
  <si>
    <t>Conduction loss (W)</t>
  </si>
  <si>
    <t>Switching loss (W)</t>
  </si>
  <si>
    <t>Total loss (W)</t>
  </si>
  <si>
    <t>Efficiency (%)</t>
  </si>
  <si>
    <t>Sensitivity: Efficiency versus Number of Series Modules and Switching Frequency</t>
  </si>
  <si>
    <t>This sheet references the main input cells and sweeps N and fsw. Change base inputs on the calculator sheet.</t>
  </si>
  <si>
    <t>N \ fsw (kHz)</t>
  </si>
  <si>
    <t>Assumptions and formula notes</t>
  </si>
  <si>
    <t>1. The workbook is a first-order loss estimator, not a substitute for datasheet- and waveform-based detailed loss simulation.</t>
  </si>
  <si>
    <t>2. SPB module voltage is calculated as total DC-link voltage divided by the number of series SPB modules.</t>
  </si>
  <si>
    <t>3. Fundamental module line-line RMS voltage is approximated as 0.612·m·Vdc,module for a two-level three-phase bridge.</t>
  </si>
  <si>
    <t>4. Phase current is estimated from Pmodule = √3·VLL,rms,module·Iphase,rms·power factor.</t>
  </si>
  <si>
    <t>5. Conduction loss is approximated as N·3·Irms²·Rds(on), assuming MOSFET conduction and sinusoidal current.</t>
  </si>
  <si>
    <t>6. Switching loss is approximated as 6·N·(Eon+Eoff scaled)·fsw. Eon/Eoff are per switch and entered in mJ.</t>
  </si>
  <si>
    <t>7. Switching energy scaling uses (Vmodule/Vref)^aV·(Irms/Iref)^aI. Keep both exponents at 1 for linear scaling.</t>
  </si>
  <si>
    <t>8. The calculator ignores diode reverse recovery, dead-time conduction, temperature dependence of Rds(on), gate-drive losses unless entered as fixed losses, capacitor losses, machine losses, and thermal derating.</t>
  </si>
  <si>
    <t>9. Literature context: SPB is based on dc-side cascading of conventional two-level three-phase inverter bridges, enabling low-voltage devices and modularity; the uploaded literature survey contains notes on this SPB concept and loss-analysis papers.</t>
  </si>
  <si>
    <t>10. Source note: user-provided literature survey PowerPoint: /mnt/data/immd_literature2020.pptx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</si>
</sst>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>
    <font>
      <sz val="11"/>
      <name val="Carlito"/>
    </font>
    <font>
      <b/>
      <sz val="14"/>
      <color rgb="FFFFFFFF"/>
      <name val="Carlito"/>
    </font>
    <font>
      <i/>
      <sz val="11"/>
      <name val="Carlito"/>
    </font>
    <font>
      <b/>
      <sz val="13"/>
      <color rgb="FFFFFFFF"/>
      <name val="Carlito"/>
    </font>
    <font>
      <b/>
      <sz val="11"/>
      <color rgb="FFFFFFFF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8FC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4" fillId="2" borderId="0" xfId="0" applyFont="1" applyFill="1"/>
    <xf numFmtId="0" fontId="3" fillId="2" borderId="0" xfId="0" applyFont="1" applyFill="1" applyAlignment="1">
      <alignment wrapText="1"/>
    </xf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5" fillId="4" borderId="4" xfId="0" applyFont="1" applyFill="1" applyBorder="1"/>
    <xf numFmtId="1" fontId="0" fillId="5" borderId="5" xfId="0" applyNumberFormat="1" applyFill="1" applyBorder="1"/>
    <xf numFmtId="0" fontId="0" fillId="0" borderId="5" xfId="0" applyBorder="1"/>
    <xf numFmtId="0" fontId="0" fillId="0" borderId="6" xfId="0" applyBorder="1" applyAlignment="1">
      <alignment wrapText="1"/>
    </xf>
    <xf numFmtId="164" fontId="0" fillId="5" borderId="5" xfId="0" applyNumberFormat="1" applyFill="1" applyBorder="1"/>
    <xf numFmtId="2" fontId="0" fillId="5" borderId="5" xfId="0" applyNumberFormat="1" applyFill="1" applyBorder="1"/>
    <xf numFmtId="0" fontId="4" fillId="4" borderId="4" xfId="0" applyFont="1" applyFill="1" applyBorder="1"/>
    <xf numFmtId="165" fontId="4" fillId="5" borderId="5" xfId="0" applyNumberFormat="1" applyFont="1" applyFill="1" applyBorder="1"/>
    <xf numFmtId="0" fontId="4" fillId="2" borderId="5" xfId="0" applyFont="1" applyFill="1" applyBorder="1"/>
    <xf numFmtId="0" fontId="4" fillId="2" borderId="6" xfId="0" applyFont="1" applyFill="1" applyBorder="1" applyAlignment="1">
      <alignment wrapText="1"/>
    </xf>
    <xf numFmtId="165" fontId="0" fillId="5" borderId="5" xfId="0" applyNumberFormat="1" applyFill="1" applyBorder="1"/>
    <xf numFmtId="0" fontId="0" fillId="5" borderId="5" xfId="0" applyFill="1" applyBorder="1"/>
    <xf numFmtId="0" fontId="5" fillId="4" borderId="7" xfId="0" applyFont="1" applyFill="1" applyBorder="1"/>
    <xf numFmtId="164" fontId="0" fillId="5" borderId="8" xfId="0" applyNumberFormat="1" applyFill="1" applyBorder="1"/>
    <xf numFmtId="0" fontId="0" fillId="0" borderId="8" xfId="0" applyBorder="1"/>
    <xf numFmtId="0" fontId="0" fillId="0" borderId="9" xfId="0" applyBorder="1" applyAlignment="1">
      <alignment wrapText="1"/>
    </xf>
    <xf numFmtId="0" fontId="0" fillId="0" borderId="4" xfId="0" applyBorder="1"/>
    <xf numFmtId="2" fontId="0" fillId="6" borderId="5" xfId="0" applyNumberFormat="1" applyFill="1" applyBorder="1"/>
    <xf numFmtId="0" fontId="0" fillId="0" borderId="6" xfId="0" applyBorder="1"/>
    <xf numFmtId="0" fontId="0" fillId="0" borderId="7" xfId="0" applyBorder="1"/>
    <xf numFmtId="2" fontId="0" fillId="6" borderId="8" xfId="0" applyNumberFormat="1" applyFill="1" applyBorder="1"/>
    <xf numFmtId="0" fontId="0" fillId="0" borderId="9" xfId="0" applyBorder="1"/>
    <xf numFmtId="0" fontId="0" fillId="0" borderId="1" xfId="0" applyBorder="1"/>
    <xf numFmtId="2" fontId="0" fillId="6" borderId="2" xfId="0" applyNumberFormat="1" applyFill="1" applyBorder="1"/>
    <xf numFmtId="0" fontId="0" fillId="0" borderId="2" xfId="0" applyBorder="1"/>
    <xf numFmtId="2" fontId="0" fillId="6" borderId="3" xfId="0" applyNumberFormat="1" applyFill="1" applyBorder="1"/>
    <xf numFmtId="2" fontId="0" fillId="6" borderId="6" xfId="0" applyNumberFormat="1" applyFill="1" applyBorder="1"/>
    <xf numFmtId="2" fontId="0" fillId="6" borderId="9" xfId="0" applyNumberFormat="1" applyFill="1" applyBorder="1"/>
    <xf numFmtId="2" fontId="0" fillId="0" borderId="5" xfId="0" applyNumberFormat="1" applyBorder="1"/>
    <xf numFmtId="2" fontId="0" fillId="0" borderId="6" xfId="0" applyNumberFormat="1" applyBorder="1"/>
    <xf numFmtId="1" fontId="0" fillId="0" borderId="7" xfId="0" applyNumberFormat="1" applyBorder="1"/>
    <xf numFmtId="2" fontId="0" fillId="0" borderId="8" xfId="0" applyNumberFormat="1" applyBorder="1"/>
    <xf numFmtId="2" fontId="0" fillId="0" borderId="9" xfId="0" applyNumberFormat="1" applyBorder="1"/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wrapText="1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sv-SE"/>
              <a:t>Loss and Efficiency vs Switching Frequency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Conduction loss (W)</c:v>
          </c:tx>
          <c:cat>
            <c:numRef>
              <c:f>'SPB Loss Calculator'!$A$36:$A$45</c:f>
              <c:numCache>
                <c:formatCode>0</c:formatCode>
                <c:ptCount val="1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</c:numCache>
            </c:numRef>
          </c:cat>
          <c:val>
            <c:numRef>
              <c:f>'SPB Loss Calculator'!$B$36:$B$45</c:f>
              <c:numCache>
                <c:formatCode>0.00</c:formatCode>
                <c:ptCount val="10"/>
                <c:pt idx="0">
                  <c:v>7386.8882732134061</c:v>
                </c:pt>
                <c:pt idx="1">
                  <c:v>7386.8882732134061</c:v>
                </c:pt>
                <c:pt idx="2">
                  <c:v>7386.8882732134061</c:v>
                </c:pt>
                <c:pt idx="3">
                  <c:v>7386.8882732134061</c:v>
                </c:pt>
                <c:pt idx="4">
                  <c:v>7386.8882732134061</c:v>
                </c:pt>
                <c:pt idx="5">
                  <c:v>7386.8882732134061</c:v>
                </c:pt>
                <c:pt idx="6">
                  <c:v>7386.8882732134061</c:v>
                </c:pt>
                <c:pt idx="7">
                  <c:v>7386.8882732134061</c:v>
                </c:pt>
                <c:pt idx="8">
                  <c:v>7386.8882732134061</c:v>
                </c:pt>
                <c:pt idx="9">
                  <c:v>7386.8882732134061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E6-47CC-95DD-A0B74FF13323}"/>
            </c:ext>
          </c:extLst>
        </c:ser>
        <c:ser>
          <c:idx val="1"/>
          <c:order val="1"/>
          <c:tx>
            <c:v>Switching loss (W)</c:v>
          </c:tx>
          <c:cat>
            <c:numRef>
              <c:f>'SPB Loss Calculator'!$A$36:$A$45</c:f>
              <c:numCache>
                <c:formatCode>0</c:formatCode>
                <c:ptCount val="1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</c:numCache>
            </c:numRef>
          </c:cat>
          <c:val>
            <c:numRef>
              <c:f>'SPB Loss Calculator'!$C$36:$C$45</c:f>
              <c:numCache>
                <c:formatCode>0.00</c:formatCode>
                <c:ptCount val="10"/>
                <c:pt idx="0">
                  <c:v>267.9562539214831</c:v>
                </c:pt>
                <c:pt idx="1">
                  <c:v>535.91250784296619</c:v>
                </c:pt>
                <c:pt idx="2">
                  <c:v>803.86876176444935</c:v>
                </c:pt>
                <c:pt idx="3">
                  <c:v>1071.8250156859324</c:v>
                </c:pt>
                <c:pt idx="4">
                  <c:v>1339.7812696074154</c:v>
                </c:pt>
                <c:pt idx="5">
                  <c:v>1607.7375235288987</c:v>
                </c:pt>
                <c:pt idx="6">
                  <c:v>1875.6937774503817</c:v>
                </c:pt>
                <c:pt idx="7">
                  <c:v>2143.6500313718648</c:v>
                </c:pt>
                <c:pt idx="8">
                  <c:v>2411.6062852933478</c:v>
                </c:pt>
                <c:pt idx="9">
                  <c:v>2679.5625392148308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E6-47CC-95DD-A0B74FF13323}"/>
            </c:ext>
          </c:extLst>
        </c:ser>
        <c:ser>
          <c:idx val="2"/>
          <c:order val="2"/>
          <c:tx>
            <c:v>Total loss (W)</c:v>
          </c:tx>
          <c:cat>
            <c:numRef>
              <c:f>'SPB Loss Calculator'!$A$36:$A$45</c:f>
              <c:numCache>
                <c:formatCode>0</c:formatCode>
                <c:ptCount val="1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</c:numCache>
            </c:numRef>
          </c:cat>
          <c:val>
            <c:numRef>
              <c:f>'SPB Loss Calculator'!$D$36:$D$45</c:f>
              <c:numCache>
                <c:formatCode>0.00</c:formatCode>
                <c:ptCount val="10"/>
                <c:pt idx="0">
                  <c:v>7654.8445271348892</c:v>
                </c:pt>
                <c:pt idx="1">
                  <c:v>7922.8007810563722</c:v>
                </c:pt>
                <c:pt idx="2">
                  <c:v>8190.7570349778553</c:v>
                </c:pt>
                <c:pt idx="3">
                  <c:v>8458.7132888993383</c:v>
                </c:pt>
                <c:pt idx="4">
                  <c:v>8726.6695428208222</c:v>
                </c:pt>
                <c:pt idx="5">
                  <c:v>8994.6257967423044</c:v>
                </c:pt>
                <c:pt idx="6">
                  <c:v>9262.5820506637883</c:v>
                </c:pt>
                <c:pt idx="7">
                  <c:v>9530.5383045852705</c:v>
                </c:pt>
                <c:pt idx="8">
                  <c:v>9798.4945585067544</c:v>
                </c:pt>
                <c:pt idx="9">
                  <c:v>10066.450812428237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E6-47CC-95DD-A0B74FF13323}"/>
            </c:ext>
          </c:extLst>
        </c:ser>
        <c:ser>
          <c:idx val="3"/>
          <c:order val="3"/>
          <c:tx>
            <c:v>Efficiency (%)</c:v>
          </c:tx>
          <c:cat>
            <c:numRef>
              <c:f>'SPB Loss Calculator'!$A$36:$A$45</c:f>
              <c:numCache>
                <c:formatCode>0</c:formatCode>
                <c:ptCount val="1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</c:numCache>
            </c:numRef>
          </c:cat>
          <c:val>
            <c:numRef>
              <c:f>'SPB Loss Calculator'!$E$36:$E$45</c:f>
              <c:numCache>
                <c:formatCode>0.00</c:formatCode>
                <c:ptCount val="10"/>
                <c:pt idx="0">
                  <c:v>97.511872586014249</c:v>
                </c:pt>
                <c:pt idx="1">
                  <c:v>97.427017174122881</c:v>
                </c:pt>
                <c:pt idx="2">
                  <c:v>97.342309317197262</c:v>
                </c:pt>
                <c:pt idx="3">
                  <c:v>97.257748630696966</c:v>
                </c:pt>
                <c:pt idx="4">
                  <c:v>97.173334731416702</c:v>
                </c:pt>
                <c:pt idx="5">
                  <c:v>97.089067237480364</c:v>
                </c:pt>
                <c:pt idx="6">
                  <c:v>97.004945768335347</c:v>
                </c:pt>
                <c:pt idx="7">
                  <c:v>96.920969944746787</c:v>
                </c:pt>
                <c:pt idx="8">
                  <c:v>96.837139388791869</c:v>
                </c:pt>
                <c:pt idx="9">
                  <c:v>96.753453723854221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E6-47CC-95DD-A0B74FF13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33</xdr:row>
      <xdr:rowOff>0</xdr:rowOff>
    </xdr:from>
    <xdr:to>
      <xdr:col>14</xdr:col>
      <xdr:colOff>0</xdr:colOff>
      <xdr:row>50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topLeftCell="A17" workbookViewId="0">
      <selection activeCell="B16" sqref="B16"/>
    </sheetView>
  </sheetViews>
  <sheetFormatPr defaultRowHeight="14.25"/>
  <cols>
    <col min="1" max="1" width="34.25" bestFit="1" customWidth="1"/>
    <col min="2" max="2" width="18.875" bestFit="1" customWidth="1"/>
    <col min="3" max="3" width="10" customWidth="1"/>
    <col min="4" max="4" width="48" customWidth="1"/>
    <col min="5" max="5" width="26" customWidth="1"/>
    <col min="6" max="6" width="9.375" bestFit="1" customWidth="1"/>
    <col min="7" max="7" width="12" customWidth="1"/>
    <col min="10" max="14" width="15" customWidth="1"/>
  </cols>
  <sheetData>
    <row r="1" spans="1:14" ht="18">
      <c r="A1" s="39" t="s">
        <v>0</v>
      </c>
      <c r="B1" s="40"/>
      <c r="C1" s="40"/>
      <c r="D1" s="40"/>
      <c r="E1" s="40"/>
      <c r="F1" s="40"/>
      <c r="G1" s="40"/>
      <c r="H1" s="40"/>
      <c r="J1" s="42" t="s">
        <v>1</v>
      </c>
      <c r="K1" s="40"/>
      <c r="L1" s="40"/>
      <c r="M1" s="40"/>
      <c r="N1" s="40"/>
    </row>
    <row r="2" spans="1:14">
      <c r="A2" s="41" t="s">
        <v>2</v>
      </c>
      <c r="B2" s="40"/>
      <c r="C2" s="40"/>
      <c r="D2" s="40"/>
      <c r="E2" s="40"/>
      <c r="F2" s="40"/>
      <c r="G2" s="40"/>
      <c r="H2" s="40"/>
    </row>
    <row r="3" spans="1:14">
      <c r="J3" s="28" t="s">
        <v>3</v>
      </c>
      <c r="K3" s="29">
        <f>B24</f>
        <v>150</v>
      </c>
      <c r="L3" s="30" t="s">
        <v>4</v>
      </c>
      <c r="M3" s="30" t="s">
        <v>5</v>
      </c>
      <c r="N3" s="31">
        <f>F29</f>
        <v>96.753453723854221</v>
      </c>
    </row>
    <row r="4" spans="1:14" ht="15">
      <c r="A4" s="3" t="s">
        <v>6</v>
      </c>
      <c r="B4" s="4"/>
      <c r="C4" s="4"/>
      <c r="D4" s="5"/>
      <c r="E4" s="1"/>
      <c r="F4" s="1"/>
      <c r="G4" s="1"/>
      <c r="H4" s="1"/>
      <c r="J4" s="22" t="s">
        <v>7</v>
      </c>
      <c r="K4" s="23">
        <f>B28</f>
        <v>225</v>
      </c>
      <c r="L4" s="8" t="s">
        <v>4</v>
      </c>
      <c r="M4" s="8" t="s">
        <v>8</v>
      </c>
      <c r="N4" s="32">
        <f>F27</f>
        <v>10066.450812428237</v>
      </c>
    </row>
    <row r="5" spans="1:14" ht="15">
      <c r="A5" s="6" t="s">
        <v>9</v>
      </c>
      <c r="B5" s="7">
        <v>1200</v>
      </c>
      <c r="C5" s="8" t="s">
        <v>4</v>
      </c>
      <c r="D5" s="9" t="s">
        <v>10</v>
      </c>
      <c r="J5" s="22" t="s">
        <v>11</v>
      </c>
      <c r="K5" s="23">
        <f>B26</f>
        <v>248.10764251989173</v>
      </c>
      <c r="L5" s="8" t="s">
        <v>12</v>
      </c>
      <c r="M5" s="8" t="s">
        <v>13</v>
      </c>
      <c r="N5" s="32">
        <f>F24</f>
        <v>7386.8882732134061</v>
      </c>
    </row>
    <row r="6" spans="1:14" ht="15">
      <c r="A6" s="6" t="s">
        <v>14</v>
      </c>
      <c r="B6" s="7">
        <v>8</v>
      </c>
      <c r="C6" s="8" t="s">
        <v>15</v>
      </c>
      <c r="D6" s="9" t="s">
        <v>16</v>
      </c>
      <c r="J6" s="22" t="s">
        <v>17</v>
      </c>
      <c r="K6" s="23">
        <f>B30</f>
        <v>48</v>
      </c>
      <c r="L6" s="8" t="s">
        <v>15</v>
      </c>
      <c r="M6" s="8" t="s">
        <v>18</v>
      </c>
      <c r="N6" s="32">
        <f>F26</f>
        <v>2679.5625392148308</v>
      </c>
    </row>
    <row r="7" spans="1:14" ht="29.25">
      <c r="A7" s="6" t="s">
        <v>19</v>
      </c>
      <c r="B7" s="10">
        <v>300</v>
      </c>
      <c r="C7" s="8" t="s">
        <v>20</v>
      </c>
      <c r="D7" s="9" t="s">
        <v>21</v>
      </c>
      <c r="J7" s="22" t="s">
        <v>22</v>
      </c>
      <c r="K7" s="23">
        <f>B27</f>
        <v>250</v>
      </c>
      <c r="L7" s="8" t="s">
        <v>23</v>
      </c>
      <c r="M7" s="8" t="s">
        <v>24</v>
      </c>
      <c r="N7" s="32">
        <f>B31</f>
        <v>37.5</v>
      </c>
    </row>
    <row r="8" spans="1:14" ht="29.25">
      <c r="A8" s="6" t="s">
        <v>25</v>
      </c>
      <c r="B8" s="11">
        <v>0.95</v>
      </c>
      <c r="C8" s="8" t="s">
        <v>15</v>
      </c>
      <c r="D8" s="9" t="s">
        <v>26</v>
      </c>
      <c r="J8" s="25" t="s">
        <v>27</v>
      </c>
      <c r="K8" s="26">
        <f>F27/B6</f>
        <v>1258.3063515535296</v>
      </c>
      <c r="L8" s="20" t="s">
        <v>28</v>
      </c>
      <c r="M8" s="20" t="s">
        <v>29</v>
      </c>
      <c r="N8" s="33">
        <f>F27/B30</f>
        <v>209.7177252589216</v>
      </c>
    </row>
    <row r="9" spans="1:14" ht="29.25">
      <c r="A9" s="6" t="s">
        <v>30</v>
      </c>
      <c r="B9" s="11">
        <v>1</v>
      </c>
      <c r="C9" s="8" t="s">
        <v>15</v>
      </c>
      <c r="D9" s="9" t="s">
        <v>31</v>
      </c>
    </row>
    <row r="10" spans="1:14" ht="15">
      <c r="A10" s="6" t="s">
        <v>32</v>
      </c>
      <c r="B10" s="11">
        <v>1.5</v>
      </c>
      <c r="C10" s="8" t="s">
        <v>33</v>
      </c>
      <c r="D10" s="9" t="s">
        <v>34</v>
      </c>
    </row>
    <row r="11" spans="1:14" ht="15">
      <c r="A11" s="6" t="s">
        <v>35</v>
      </c>
      <c r="B11" s="11">
        <v>1.25</v>
      </c>
      <c r="C11" s="8" t="s">
        <v>33</v>
      </c>
      <c r="D11" s="9" t="s">
        <v>36</v>
      </c>
    </row>
    <row r="12" spans="1:14" ht="15">
      <c r="A12" s="12" t="s">
        <v>37</v>
      </c>
      <c r="B12" s="13"/>
      <c r="C12" s="14"/>
      <c r="D12" s="15"/>
      <c r="E12" s="1"/>
      <c r="F12" s="1"/>
      <c r="G12" s="1"/>
      <c r="H12" s="1"/>
    </row>
    <row r="13" spans="1:14" ht="15">
      <c r="A13" s="6" t="s">
        <v>38</v>
      </c>
      <c r="B13" s="16">
        <v>0.1</v>
      </c>
      <c r="C13" s="8" t="s">
        <v>39</v>
      </c>
      <c r="D13" s="9" t="s">
        <v>40</v>
      </c>
    </row>
    <row r="14" spans="1:14" ht="15">
      <c r="A14" s="6" t="s">
        <v>41</v>
      </c>
      <c r="B14" s="11">
        <v>0.1</v>
      </c>
      <c r="C14" s="8" t="s">
        <v>39</v>
      </c>
      <c r="D14" s="9" t="s">
        <v>42</v>
      </c>
    </row>
    <row r="15" spans="1:14" ht="29.25">
      <c r="A15" s="6" t="s">
        <v>43</v>
      </c>
      <c r="B15" s="17">
        <v>5</v>
      </c>
      <c r="C15" s="8" t="s">
        <v>44</v>
      </c>
      <c r="D15" s="9" t="s">
        <v>45</v>
      </c>
    </row>
    <row r="16" spans="1:14" ht="15">
      <c r="A16" s="6" t="s">
        <v>46</v>
      </c>
      <c r="B16" s="10">
        <v>300</v>
      </c>
      <c r="C16" s="8" t="s">
        <v>47</v>
      </c>
      <c r="D16" s="9" t="s">
        <v>48</v>
      </c>
    </row>
    <row r="17" spans="1:8" ht="15">
      <c r="A17" s="6" t="s">
        <v>49</v>
      </c>
      <c r="B17" s="7">
        <v>200</v>
      </c>
      <c r="C17" s="8" t="s">
        <v>4</v>
      </c>
      <c r="D17" s="9" t="s">
        <v>50</v>
      </c>
    </row>
    <row r="18" spans="1:8" ht="15">
      <c r="A18" s="6" t="s">
        <v>51</v>
      </c>
      <c r="B18" s="7">
        <v>100</v>
      </c>
      <c r="C18" s="8" t="s">
        <v>23</v>
      </c>
      <c r="D18" s="9" t="s">
        <v>52</v>
      </c>
    </row>
    <row r="19" spans="1:8" ht="15">
      <c r="A19" s="6" t="s">
        <v>53</v>
      </c>
      <c r="B19" s="10">
        <v>1</v>
      </c>
      <c r="C19" s="8" t="s">
        <v>15</v>
      </c>
      <c r="D19" s="9" t="s">
        <v>54</v>
      </c>
    </row>
    <row r="20" spans="1:8" ht="15">
      <c r="A20" s="6" t="s">
        <v>55</v>
      </c>
      <c r="B20" s="10">
        <v>1</v>
      </c>
      <c r="C20" s="8" t="s">
        <v>15</v>
      </c>
      <c r="D20" s="9" t="s">
        <v>56</v>
      </c>
    </row>
    <row r="21" spans="1:8" ht="15">
      <c r="A21" s="18" t="s">
        <v>57</v>
      </c>
      <c r="B21" s="19">
        <v>0</v>
      </c>
      <c r="C21" s="20" t="s">
        <v>28</v>
      </c>
      <c r="D21" s="21" t="s">
        <v>58</v>
      </c>
    </row>
    <row r="23" spans="1:8" ht="15">
      <c r="A23" s="3" t="s">
        <v>59</v>
      </c>
      <c r="B23" s="4"/>
      <c r="C23" s="4"/>
      <c r="D23" s="4"/>
      <c r="E23" s="4" t="s">
        <v>60</v>
      </c>
      <c r="F23" s="4"/>
      <c r="G23" s="4"/>
      <c r="H23" s="5"/>
    </row>
    <row r="24" spans="1:8">
      <c r="A24" s="22" t="s">
        <v>61</v>
      </c>
      <c r="B24" s="23">
        <f>B5/B6</f>
        <v>150</v>
      </c>
      <c r="C24" s="8" t="s">
        <v>4</v>
      </c>
      <c r="D24" s="8"/>
      <c r="E24" s="8" t="s">
        <v>62</v>
      </c>
      <c r="F24" s="23">
        <f>B6*3*B26^2*(B15/1000)</f>
        <v>7386.8882732134061</v>
      </c>
      <c r="G24" s="8" t="s">
        <v>28</v>
      </c>
      <c r="H24" s="24"/>
    </row>
    <row r="25" spans="1:8">
      <c r="A25" s="22" t="s">
        <v>63</v>
      </c>
      <c r="B25" s="23">
        <f>0.6123724357*B9*B24</f>
        <v>91.855865355000006</v>
      </c>
      <c r="C25" s="8" t="s">
        <v>4</v>
      </c>
      <c r="D25" s="8"/>
      <c r="E25" s="8" t="s">
        <v>64</v>
      </c>
      <c r="F25" s="23">
        <f>(B12+B13)*(B24/B17)^B19*(B26/B18)^B20</f>
        <v>0.18608073188991883</v>
      </c>
      <c r="G25" s="8" t="s">
        <v>65</v>
      </c>
      <c r="H25" s="24"/>
    </row>
    <row r="26" spans="1:8">
      <c r="A26" s="22" t="s">
        <v>66</v>
      </c>
      <c r="B26" s="23">
        <f>B7*1000/(SQRT(3)*B25*B8)/B6</f>
        <v>248.10764251989173</v>
      </c>
      <c r="C26" s="8" t="s">
        <v>12</v>
      </c>
      <c r="D26" s="8"/>
      <c r="E26" s="8" t="s">
        <v>67</v>
      </c>
      <c r="F26" s="23">
        <f>B30*(F25/1000)*(B16*1000)</f>
        <v>2679.5625392148308</v>
      </c>
      <c r="G26" s="8" t="s">
        <v>28</v>
      </c>
      <c r="H26" s="24"/>
    </row>
    <row r="27" spans="1:8">
      <c r="A27" s="22" t="s">
        <v>68</v>
      </c>
      <c r="B27" s="23">
        <f>B7*1000/B5</f>
        <v>250</v>
      </c>
      <c r="C27" s="8" t="s">
        <v>23</v>
      </c>
      <c r="D27" s="8"/>
      <c r="E27" s="8" t="s">
        <v>69</v>
      </c>
      <c r="F27" s="23">
        <f>F24+F26+B21</f>
        <v>10066.450812428237</v>
      </c>
      <c r="G27" s="8" t="s">
        <v>28</v>
      </c>
      <c r="H27" s="24"/>
    </row>
    <row r="28" spans="1:8">
      <c r="A28" s="22" t="s">
        <v>70</v>
      </c>
      <c r="B28" s="23">
        <f>B24*B10</f>
        <v>225</v>
      </c>
      <c r="C28" s="8" t="s">
        <v>4</v>
      </c>
      <c r="D28" s="8"/>
      <c r="E28" s="8" t="s">
        <v>71</v>
      </c>
      <c r="F28" s="23">
        <f>B7*1000+F27</f>
        <v>310066.45081242826</v>
      </c>
      <c r="G28" s="8" t="s">
        <v>28</v>
      </c>
      <c r="H28" s="24"/>
    </row>
    <row r="29" spans="1:8">
      <c r="A29" s="22" t="s">
        <v>72</v>
      </c>
      <c r="B29" s="23">
        <f>B26*B11</f>
        <v>310.13455314986464</v>
      </c>
      <c r="C29" s="8" t="s">
        <v>23</v>
      </c>
      <c r="D29" s="8"/>
      <c r="E29" s="8" t="s">
        <v>5</v>
      </c>
      <c r="F29" s="23">
        <f>B7*1000/F28*100</f>
        <v>96.753453723854221</v>
      </c>
      <c r="G29" s="8" t="s">
        <v>73</v>
      </c>
      <c r="H29" s="24"/>
    </row>
    <row r="30" spans="1:8">
      <c r="A30" s="22" t="s">
        <v>74</v>
      </c>
      <c r="B30" s="23">
        <f>6*B6</f>
        <v>48</v>
      </c>
      <c r="C30" s="8" t="s">
        <v>15</v>
      </c>
      <c r="D30" s="8"/>
      <c r="E30" s="8" t="s">
        <v>75</v>
      </c>
      <c r="F30" s="23">
        <f>IF(F27=0,0,F24/F27*100)</f>
        <v>73.381258308970317</v>
      </c>
      <c r="G30" s="8" t="s">
        <v>73</v>
      </c>
      <c r="H30" s="24"/>
    </row>
    <row r="31" spans="1:8">
      <c r="A31" s="25" t="s">
        <v>76</v>
      </c>
      <c r="B31" s="26">
        <f>B7/B6</f>
        <v>37.5</v>
      </c>
      <c r="C31" s="20" t="s">
        <v>20</v>
      </c>
      <c r="D31" s="20"/>
      <c r="E31" s="20" t="s">
        <v>77</v>
      </c>
      <c r="F31" s="26">
        <f>IF(F27=0,0,F26/F27*100)</f>
        <v>26.61874169102968</v>
      </c>
      <c r="G31" s="20" t="s">
        <v>73</v>
      </c>
      <c r="H31" s="27"/>
    </row>
    <row r="34" spans="1:5" ht="15">
      <c r="A34" s="43" t="s">
        <v>78</v>
      </c>
      <c r="B34" s="40"/>
      <c r="C34" s="40"/>
      <c r="D34" s="40"/>
      <c r="E34" s="40"/>
    </row>
    <row r="35" spans="1:5" ht="15">
      <c r="A35" s="3" t="s">
        <v>79</v>
      </c>
      <c r="B35" s="4" t="s">
        <v>80</v>
      </c>
      <c r="C35" s="4" t="s">
        <v>81</v>
      </c>
      <c r="D35" s="4" t="s">
        <v>82</v>
      </c>
      <c r="E35" s="5" t="s">
        <v>83</v>
      </c>
    </row>
    <row r="36" spans="1:5">
      <c r="A36" s="36">
        <f>B16/20*2</f>
        <v>30</v>
      </c>
      <c r="B36" s="34">
        <f t="shared" ref="B36:B45" si="0">$F$24</f>
        <v>7386.8882732134061</v>
      </c>
      <c r="C36" s="34">
        <f t="shared" ref="C36:C45" si="1">$B$30*($F$25/1000)*(A36*1000)</f>
        <v>267.9562539214831</v>
      </c>
      <c r="D36" s="34">
        <f t="shared" ref="D36:D45" si="2">B36+C36+$B$21</f>
        <v>7654.8445271348892</v>
      </c>
      <c r="E36" s="35">
        <f t="shared" ref="E36:E45" si="3">$B$7*1000/($B$7*1000+D36)*100</f>
        <v>97.511872586014249</v>
      </c>
    </row>
    <row r="37" spans="1:5">
      <c r="A37" s="36">
        <f>B16/20*2*2</f>
        <v>60</v>
      </c>
      <c r="B37" s="34">
        <f t="shared" si="0"/>
        <v>7386.8882732134061</v>
      </c>
      <c r="C37" s="34">
        <f t="shared" si="1"/>
        <v>535.91250784296619</v>
      </c>
      <c r="D37" s="34">
        <f t="shared" si="2"/>
        <v>7922.8007810563722</v>
      </c>
      <c r="E37" s="35">
        <f t="shared" si="3"/>
        <v>97.427017174122881</v>
      </c>
    </row>
    <row r="38" spans="1:5">
      <c r="A38" s="36">
        <f>B16/20*3*2</f>
        <v>90</v>
      </c>
      <c r="B38" s="34">
        <f t="shared" si="0"/>
        <v>7386.8882732134061</v>
      </c>
      <c r="C38" s="34">
        <f t="shared" si="1"/>
        <v>803.86876176444935</v>
      </c>
      <c r="D38" s="34">
        <f t="shared" si="2"/>
        <v>8190.7570349778553</v>
      </c>
      <c r="E38" s="35">
        <f t="shared" si="3"/>
        <v>97.342309317197262</v>
      </c>
    </row>
    <row r="39" spans="1:5">
      <c r="A39" s="36">
        <f>B16/20*4*2</f>
        <v>120</v>
      </c>
      <c r="B39" s="34">
        <f t="shared" si="0"/>
        <v>7386.8882732134061</v>
      </c>
      <c r="C39" s="34">
        <f t="shared" si="1"/>
        <v>1071.8250156859324</v>
      </c>
      <c r="D39" s="34">
        <f t="shared" si="2"/>
        <v>8458.7132888993383</v>
      </c>
      <c r="E39" s="35">
        <f t="shared" si="3"/>
        <v>97.257748630696966</v>
      </c>
    </row>
    <row r="40" spans="1:5">
      <c r="A40" s="36">
        <f>B16/20*5*2</f>
        <v>150</v>
      </c>
      <c r="B40" s="34">
        <f t="shared" si="0"/>
        <v>7386.8882732134061</v>
      </c>
      <c r="C40" s="34">
        <f t="shared" si="1"/>
        <v>1339.7812696074154</v>
      </c>
      <c r="D40" s="34">
        <f t="shared" si="2"/>
        <v>8726.6695428208222</v>
      </c>
      <c r="E40" s="35">
        <f t="shared" si="3"/>
        <v>97.173334731416702</v>
      </c>
    </row>
    <row r="41" spans="1:5">
      <c r="A41" s="36">
        <f>B16/20*6*2</f>
        <v>180</v>
      </c>
      <c r="B41" s="34">
        <f t="shared" si="0"/>
        <v>7386.8882732134061</v>
      </c>
      <c r="C41" s="34">
        <f t="shared" si="1"/>
        <v>1607.7375235288987</v>
      </c>
      <c r="D41" s="34">
        <f t="shared" si="2"/>
        <v>8994.6257967423044</v>
      </c>
      <c r="E41" s="35">
        <f t="shared" si="3"/>
        <v>97.089067237480364</v>
      </c>
    </row>
    <row r="42" spans="1:5">
      <c r="A42" s="36">
        <f>B16/20*7*2</f>
        <v>210</v>
      </c>
      <c r="B42" s="34">
        <f t="shared" si="0"/>
        <v>7386.8882732134061</v>
      </c>
      <c r="C42" s="34">
        <f t="shared" si="1"/>
        <v>1875.6937774503817</v>
      </c>
      <c r="D42" s="34">
        <f t="shared" si="2"/>
        <v>9262.5820506637883</v>
      </c>
      <c r="E42" s="35">
        <f t="shared" si="3"/>
        <v>97.004945768335347</v>
      </c>
    </row>
    <row r="43" spans="1:5">
      <c r="A43" s="36">
        <f>B16/20*8*2</f>
        <v>240</v>
      </c>
      <c r="B43" s="34">
        <f t="shared" si="0"/>
        <v>7386.8882732134061</v>
      </c>
      <c r="C43" s="34">
        <f t="shared" si="1"/>
        <v>2143.6500313718648</v>
      </c>
      <c r="D43" s="34">
        <f t="shared" si="2"/>
        <v>9530.5383045852705</v>
      </c>
      <c r="E43" s="35">
        <f t="shared" si="3"/>
        <v>96.920969944746787</v>
      </c>
    </row>
    <row r="44" spans="1:5">
      <c r="A44" s="36">
        <f>B16/20*9*2</f>
        <v>270</v>
      </c>
      <c r="B44" s="34">
        <f t="shared" si="0"/>
        <v>7386.8882732134061</v>
      </c>
      <c r="C44" s="34">
        <f t="shared" si="1"/>
        <v>2411.6062852933478</v>
      </c>
      <c r="D44" s="34">
        <f t="shared" si="2"/>
        <v>9798.4945585067544</v>
      </c>
      <c r="E44" s="35">
        <f t="shared" si="3"/>
        <v>96.837139388791869</v>
      </c>
    </row>
    <row r="45" spans="1:5">
      <c r="A45" s="36">
        <f>B16</f>
        <v>300</v>
      </c>
      <c r="B45" s="37">
        <f t="shared" si="0"/>
        <v>7386.8882732134061</v>
      </c>
      <c r="C45" s="37">
        <f t="shared" si="1"/>
        <v>2679.5625392148308</v>
      </c>
      <c r="D45" s="37">
        <f t="shared" si="2"/>
        <v>10066.450812428237</v>
      </c>
      <c r="E45" s="38">
        <f t="shared" si="3"/>
        <v>96.753453723854221</v>
      </c>
    </row>
  </sheetData>
  <mergeCells count="4">
    <mergeCell ref="A1:H1"/>
    <mergeCell ref="A2:H2"/>
    <mergeCell ref="J1:N1"/>
    <mergeCell ref="A34:E34"/>
  </mergeCells>
  <conditionalFormatting sqref="E36:E45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selection activeCell="A7" sqref="A7"/>
    </sheetView>
  </sheetViews>
  <sheetFormatPr defaultRowHeight="14.25"/>
  <cols>
    <col min="1" max="8" width="15" customWidth="1"/>
  </cols>
  <sheetData>
    <row r="1" spans="1:8" ht="16.5">
      <c r="A1" s="42" t="s">
        <v>84</v>
      </c>
      <c r="B1" s="40"/>
      <c r="C1" s="40"/>
      <c r="D1" s="40"/>
      <c r="E1" s="40"/>
      <c r="F1" s="40"/>
      <c r="G1" s="40"/>
      <c r="H1" s="40"/>
    </row>
    <row r="3" spans="1:8">
      <c r="A3" s="41" t="s">
        <v>85</v>
      </c>
      <c r="B3" s="40"/>
      <c r="C3" s="40"/>
      <c r="D3" s="40"/>
      <c r="E3" s="40"/>
      <c r="F3" s="40"/>
      <c r="G3" s="40"/>
      <c r="H3" s="40"/>
    </row>
    <row r="5" spans="1:8" ht="15">
      <c r="A5" s="3" t="s">
        <v>86</v>
      </c>
      <c r="B5" s="4">
        <v>5</v>
      </c>
      <c r="C5" s="4">
        <v>10</v>
      </c>
      <c r="D5" s="4">
        <v>15</v>
      </c>
      <c r="E5" s="4">
        <v>20</v>
      </c>
      <c r="F5" s="4">
        <v>25</v>
      </c>
      <c r="G5" s="4">
        <v>30</v>
      </c>
      <c r="H5" s="5">
        <v>40</v>
      </c>
    </row>
    <row r="6" spans="1:8" ht="15">
      <c r="A6" s="6">
        <v>1</v>
      </c>
      <c r="B6" s="34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Calculator'!$B$21,N,$A6,fsw,B$5,Vmod,Vdc/N,Vll,0.6123724357*m*Vmod,Irms,Pkw*1000/(SQRT(3)*Vll*pf),Pcond,N*3*Irms^2*Rds,Esw,(Eon+Eoff)*(Vmod/Vref)^av*(Irms/Iref)^ai,Psw,6*N*(Esw/1000)*(fsw*1000),Pkw*1000/(Pkw*1000+Pcond+Psw+fixed)*100)</f>
        <v>#NAME?</v>
      </c>
      <c r="C6" s="34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Calculator'!$B$21,N,$A6,fsw,C$5,Vmod,Vdc/N,Vll,0.6123724357*m*Vmod,Irms,Pkw*1000/(SQRT(3)*Vll*pf),Pcond,N*3*Irms^2*Rds,Esw,(Eon+Eoff)*(Vmod/Vref)^av*(Irms/Iref)^ai,Psw,6*N*(Esw/1000)*(fsw*1000),Pkw*1000/(Pkw*1000+Pcond+Psw+fixed)*100)</f>
        <v>#NAME?</v>
      </c>
      <c r="D6" s="34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Calculator'!$B$21,N,$A6,fsw,D$5,Vmod,Vdc/N,Vll,0.6123724357*m*Vmod,Irms,Pkw*1000/(SQRT(3)*Vll*pf),Pcond,N*3*Irms^2*Rds,Esw,(Eon+Eoff)*(Vmod/Vref)^av*(Irms/Iref)^ai,Psw,6*N*(Esw/1000)*(fsw*1000),Pkw*1000/(Pkw*1000+Pcond+Psw+fixed)*100)</f>
        <v>#NAME?</v>
      </c>
      <c r="E6" s="34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Calculator'!$B$21,N,$A6,fsw,E$5,Vmod,Vdc/N,Vll,0.6123724357*m*Vmod,Irms,Pkw*1000/(SQRT(3)*Vll*pf),Pcond,N*3*Irms^2*Rds,Esw,(Eon+Eoff)*(Vmod/Vref)^av*(Irms/Iref)^ai,Psw,6*N*(Esw/1000)*(fsw*1000),Pkw*1000/(Pkw*1000+Pcond+Psw+fixed)*100)</f>
        <v>#NAME?</v>
      </c>
      <c r="F6" s="34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Calculator'!$B$21,N,$A6,fsw,F$5,Vmod,Vdc/N,Vll,0.6123724357*m*Vmod,Irms,Pkw*1000/(SQRT(3)*Vll*pf),Pcond,N*3*Irms^2*Rds,Esw,(Eon+Eoff)*(Vmod/Vref)^av*(Irms/Iref)^ai,Psw,6*N*(Esw/1000)*(fsw*1000),Pkw*1000/(Pkw*1000+Pcond+Psw+fixed)*100)</f>
        <v>#NAME?</v>
      </c>
      <c r="G6" s="34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Calculator'!$B$21,N,$A6,fsw,G$5,Vmod,Vdc/N,Vll,0.6123724357*m*Vmod,Irms,Pkw*1000/(SQRT(3)*Vll*pf),Pcond,N*3*Irms^2*Rds,Esw,(Eon+Eoff)*(Vmod/Vref)^av*(Irms/Iref)^ai,Psw,6*N*(Esw/1000)*(fsw*1000),Pkw*1000/(Pkw*1000+Pcond+Psw+fixed)*100)</f>
        <v>#NAME?</v>
      </c>
      <c r="H6" s="35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Calculator'!$B$21,N,$A6,fsw,H$5,Vmod,Vdc/N,Vll,0.6123724357*m*Vmod,Irms,Pkw*1000/(SQRT(3)*Vll*pf),Pcond,N*3*Irms^2*Rds,Esw,(Eon+Eoff)*(Vmod/Vref)^av*(Irms/Iref)^ai,Psw,6*N*(Esw/1000)*(fsw*1000),Pkw*1000/(Pkw*1000+Pcond+Psw+fixed)*100)</f>
        <v>#NAME?</v>
      </c>
    </row>
    <row r="7" spans="1:8" ht="15">
      <c r="A7" s="6">
        <v>2</v>
      </c>
      <c r="B7" s="34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Calculator'!$B$21,N,$A7,fsw,B$5,Vmod,Vdc/N,Vll,0.6123724357*m*Vmod,Irms,Pkw*1000/(SQRT(3)*Vll*pf),Pcond,N*3*Irms^2*Rds,Esw,(Eon+Eoff)*(Vmod/Vref)^av*(Irms/Iref)^ai,Psw,6*N*(Esw/1000)*(fsw*1000),Pkw*1000/(Pkw*1000+Pcond+Psw+fixed)*100)</f>
        <v>#NAME?</v>
      </c>
      <c r="C7" s="34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Calculator'!$B$21,N,$A7,fsw,C$5,Vmod,Vdc/N,Vll,0.6123724357*m*Vmod,Irms,Pkw*1000/(SQRT(3)*Vll*pf),Pcond,N*3*Irms^2*Rds,Esw,(Eon+Eoff)*(Vmod/Vref)^av*(Irms/Iref)^ai,Psw,6*N*(Esw/1000)*(fsw*1000),Pkw*1000/(Pkw*1000+Pcond+Psw+fixed)*100)</f>
        <v>#NAME?</v>
      </c>
      <c r="D7" s="34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Calculator'!$B$21,N,$A7,fsw,D$5,Vmod,Vdc/N,Vll,0.6123724357*m*Vmod,Irms,Pkw*1000/(SQRT(3)*Vll*pf),Pcond,N*3*Irms^2*Rds,Esw,(Eon+Eoff)*(Vmod/Vref)^av*(Irms/Iref)^ai,Psw,6*N*(Esw/1000)*(fsw*1000),Pkw*1000/(Pkw*1000+Pcond+Psw+fixed)*100)</f>
        <v>#NAME?</v>
      </c>
      <c r="E7" s="34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Calculator'!$B$21,N,$A7,fsw,E$5,Vmod,Vdc/N,Vll,0.6123724357*m*Vmod,Irms,Pkw*1000/(SQRT(3)*Vll*pf),Pcond,N*3*Irms^2*Rds,Esw,(Eon+Eoff)*(Vmod/Vref)^av*(Irms/Iref)^ai,Psw,6*N*(Esw/1000)*(fsw*1000),Pkw*1000/(Pkw*1000+Pcond+Psw+fixed)*100)</f>
        <v>#NAME?</v>
      </c>
      <c r="F7" s="34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Calculator'!$B$21,N,$A7,fsw,F$5,Vmod,Vdc/N,Vll,0.6123724357*m*Vmod,Irms,Pkw*1000/(SQRT(3)*Vll*pf),Pcond,N*3*Irms^2*Rds,Esw,(Eon+Eoff)*(Vmod/Vref)^av*(Irms/Iref)^ai,Psw,6*N*(Esw/1000)*(fsw*1000),Pkw*1000/(Pkw*1000+Pcond+Psw+fixed)*100)</f>
        <v>#NAME?</v>
      </c>
      <c r="G7" s="34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Calculator'!$B$21,N,$A7,fsw,G$5,Vmod,Vdc/N,Vll,0.6123724357*m*Vmod,Irms,Pkw*1000/(SQRT(3)*Vll*pf),Pcond,N*3*Irms^2*Rds,Esw,(Eon+Eoff)*(Vmod/Vref)^av*(Irms/Iref)^ai,Psw,6*N*(Esw/1000)*(fsw*1000),Pkw*1000/(Pkw*1000+Pcond+Psw+fixed)*100)</f>
        <v>#NAME?</v>
      </c>
      <c r="H7" s="35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Calculator'!$B$21,N,$A7,fsw,H$5,Vmod,Vdc/N,Vll,0.6123724357*m*Vmod,Irms,Pkw*1000/(SQRT(3)*Vll*pf),Pcond,N*3*Irms^2*Rds,Esw,(Eon+Eoff)*(Vmod/Vref)^av*(Irms/Iref)^ai,Psw,6*N*(Esw/1000)*(fsw*1000),Pkw*1000/(Pkw*1000+Pcond+Psw+fixed)*100)</f>
        <v>#NAME?</v>
      </c>
    </row>
    <row r="8" spans="1:8" ht="15">
      <c r="A8" s="6">
        <v>3</v>
      </c>
      <c r="B8" s="34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Calculator'!$B$21,N,$A8,fsw,B$5,Vmod,Vdc/N,Vll,0.6123724357*m*Vmod,Irms,Pkw*1000/(SQRT(3)*Vll*pf),Pcond,N*3*Irms^2*Rds,Esw,(Eon+Eoff)*(Vmod/Vref)^av*(Irms/Iref)^ai,Psw,6*N*(Esw/1000)*(fsw*1000),Pkw*1000/(Pkw*1000+Pcond+Psw+fixed)*100)</f>
        <v>#NAME?</v>
      </c>
      <c r="C8" s="34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Calculator'!$B$21,N,$A8,fsw,C$5,Vmod,Vdc/N,Vll,0.6123724357*m*Vmod,Irms,Pkw*1000/(SQRT(3)*Vll*pf),Pcond,N*3*Irms^2*Rds,Esw,(Eon+Eoff)*(Vmod/Vref)^av*(Irms/Iref)^ai,Psw,6*N*(Esw/1000)*(fsw*1000),Pkw*1000/(Pkw*1000+Pcond+Psw+fixed)*100)</f>
        <v>#NAME?</v>
      </c>
      <c r="D8" s="34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Calculator'!$B$21,N,$A8,fsw,D$5,Vmod,Vdc/N,Vll,0.6123724357*m*Vmod,Irms,Pkw*1000/(SQRT(3)*Vll*pf),Pcond,N*3*Irms^2*Rds,Esw,(Eon+Eoff)*(Vmod/Vref)^av*(Irms/Iref)^ai,Psw,6*N*(Esw/1000)*(fsw*1000),Pkw*1000/(Pkw*1000+Pcond+Psw+fixed)*100)</f>
        <v>#NAME?</v>
      </c>
      <c r="E8" s="34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Calculator'!$B$21,N,$A8,fsw,E$5,Vmod,Vdc/N,Vll,0.6123724357*m*Vmod,Irms,Pkw*1000/(SQRT(3)*Vll*pf),Pcond,N*3*Irms^2*Rds,Esw,(Eon+Eoff)*(Vmod/Vref)^av*(Irms/Iref)^ai,Psw,6*N*(Esw/1000)*(fsw*1000),Pkw*1000/(Pkw*1000+Pcond+Psw+fixed)*100)</f>
        <v>#NAME?</v>
      </c>
      <c r="F8" s="34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Calculator'!$B$21,N,$A8,fsw,F$5,Vmod,Vdc/N,Vll,0.6123724357*m*Vmod,Irms,Pkw*1000/(SQRT(3)*Vll*pf),Pcond,N*3*Irms^2*Rds,Esw,(Eon+Eoff)*(Vmod/Vref)^av*(Irms/Iref)^ai,Psw,6*N*(Esw/1000)*(fsw*1000),Pkw*1000/(Pkw*1000+Pcond+Psw+fixed)*100)</f>
        <v>#NAME?</v>
      </c>
      <c r="G8" s="34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Calculator'!$B$21,N,$A8,fsw,G$5,Vmod,Vdc/N,Vll,0.6123724357*m*Vmod,Irms,Pkw*1000/(SQRT(3)*Vll*pf),Pcond,N*3*Irms^2*Rds,Esw,(Eon+Eoff)*(Vmod/Vref)^av*(Irms/Iref)^ai,Psw,6*N*(Esw/1000)*(fsw*1000),Pkw*1000/(Pkw*1000+Pcond+Psw+fixed)*100)</f>
        <v>#NAME?</v>
      </c>
      <c r="H8" s="35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Calculator'!$B$21,N,$A8,fsw,H$5,Vmod,Vdc/N,Vll,0.6123724357*m*Vmod,Irms,Pkw*1000/(SQRT(3)*Vll*pf),Pcond,N*3*Irms^2*Rds,Esw,(Eon+Eoff)*(Vmod/Vref)^av*(Irms/Iref)^ai,Psw,6*N*(Esw/1000)*(fsw*1000),Pkw*1000/(Pkw*1000+Pcond+Psw+fixed)*100)</f>
        <v>#NAME?</v>
      </c>
    </row>
    <row r="9" spans="1:8" ht="15">
      <c r="A9" s="6">
        <v>4</v>
      </c>
      <c r="B9" s="34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Calculator'!$B$21,N,$A9,fsw,B$5,Vmod,Vdc/N,Vll,0.6123724357*m*Vmod,Irms,Pkw*1000/(SQRT(3)*Vll*pf),Pcond,N*3*Irms^2*Rds,Esw,(Eon+Eoff)*(Vmod/Vref)^av*(Irms/Iref)^ai,Psw,6*N*(Esw/1000)*(fsw*1000),Pkw*1000/(Pkw*1000+Pcond+Psw+fixed)*100)</f>
        <v>#NAME?</v>
      </c>
      <c r="C9" s="34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Calculator'!$B$21,N,$A9,fsw,C$5,Vmod,Vdc/N,Vll,0.6123724357*m*Vmod,Irms,Pkw*1000/(SQRT(3)*Vll*pf),Pcond,N*3*Irms^2*Rds,Esw,(Eon+Eoff)*(Vmod/Vref)^av*(Irms/Iref)^ai,Psw,6*N*(Esw/1000)*(fsw*1000),Pkw*1000/(Pkw*1000+Pcond+Psw+fixed)*100)</f>
        <v>#NAME?</v>
      </c>
      <c r="D9" s="34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Calculator'!$B$21,N,$A9,fsw,D$5,Vmod,Vdc/N,Vll,0.6123724357*m*Vmod,Irms,Pkw*1000/(SQRT(3)*Vll*pf),Pcond,N*3*Irms^2*Rds,Esw,(Eon+Eoff)*(Vmod/Vref)^av*(Irms/Iref)^ai,Psw,6*N*(Esw/1000)*(fsw*1000),Pkw*1000/(Pkw*1000+Pcond+Psw+fixed)*100)</f>
        <v>#NAME?</v>
      </c>
      <c r="E9" s="34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Calculator'!$B$21,N,$A9,fsw,E$5,Vmod,Vdc/N,Vll,0.6123724357*m*Vmod,Irms,Pkw*1000/(SQRT(3)*Vll*pf),Pcond,N*3*Irms^2*Rds,Esw,(Eon+Eoff)*(Vmod/Vref)^av*(Irms/Iref)^ai,Psw,6*N*(Esw/1000)*(fsw*1000),Pkw*1000/(Pkw*1000+Pcond+Psw+fixed)*100)</f>
        <v>#NAME?</v>
      </c>
      <c r="F9" s="34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Calculator'!$B$21,N,$A9,fsw,F$5,Vmod,Vdc/N,Vll,0.6123724357*m*Vmod,Irms,Pkw*1000/(SQRT(3)*Vll*pf),Pcond,N*3*Irms^2*Rds,Esw,(Eon+Eoff)*(Vmod/Vref)^av*(Irms/Iref)^ai,Psw,6*N*(Esw/1000)*(fsw*1000),Pkw*1000/(Pkw*1000+Pcond+Psw+fixed)*100)</f>
        <v>#NAME?</v>
      </c>
      <c r="G9" s="34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Calculator'!$B$21,N,$A9,fsw,G$5,Vmod,Vdc/N,Vll,0.6123724357*m*Vmod,Irms,Pkw*1000/(SQRT(3)*Vll*pf),Pcond,N*3*Irms^2*Rds,Esw,(Eon+Eoff)*(Vmod/Vref)^av*(Irms/Iref)^ai,Psw,6*N*(Esw/1000)*(fsw*1000),Pkw*1000/(Pkw*1000+Pcond+Psw+fixed)*100)</f>
        <v>#NAME?</v>
      </c>
      <c r="H9" s="35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Calculator'!$B$21,N,$A9,fsw,H$5,Vmod,Vdc/N,Vll,0.6123724357*m*Vmod,Irms,Pkw*1000/(SQRT(3)*Vll*pf),Pcond,N*3*Irms^2*Rds,Esw,(Eon+Eoff)*(Vmod/Vref)^av*(Irms/Iref)^ai,Psw,6*N*(Esw/1000)*(fsw*1000),Pkw*1000/(Pkw*1000+Pcond+Psw+fixed)*100)</f>
        <v>#NAME?</v>
      </c>
    </row>
    <row r="10" spans="1:8" ht="15">
      <c r="A10" s="6">
        <v>5</v>
      </c>
      <c r="B10" s="34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Calculator'!$B$21,N,$A10,fsw,B$5,Vmod,Vdc/N,Vll,0.6123724357*m*Vmod,Irms,Pkw*1000/(SQRT(3)*Vll*pf),Pcond,N*3*Irms^2*Rds,Esw,(Eon+Eoff)*(Vmod/Vref)^av*(Irms/Iref)^ai,Psw,6*N*(Esw/1000)*(fsw*1000),Pkw*1000/(Pkw*1000+Pcond+Psw+fixed)*100)</f>
        <v>#NAME?</v>
      </c>
      <c r="C10" s="34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Calculator'!$B$21,N,$A10,fsw,C$5,Vmod,Vdc/N,Vll,0.6123724357*m*Vmod,Irms,Pkw*1000/(SQRT(3)*Vll*pf),Pcond,N*3*Irms^2*Rds,Esw,(Eon+Eoff)*(Vmod/Vref)^av*(Irms/Iref)^ai,Psw,6*N*(Esw/1000)*(fsw*1000),Pkw*1000/(Pkw*1000+Pcond+Psw+fixed)*100)</f>
        <v>#NAME?</v>
      </c>
      <c r="D10" s="34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Calculator'!$B$21,N,$A10,fsw,D$5,Vmod,Vdc/N,Vll,0.6123724357*m*Vmod,Irms,Pkw*1000/(SQRT(3)*Vll*pf),Pcond,N*3*Irms^2*Rds,Esw,(Eon+Eoff)*(Vmod/Vref)^av*(Irms/Iref)^ai,Psw,6*N*(Esw/1000)*(fsw*1000),Pkw*1000/(Pkw*1000+Pcond+Psw+fixed)*100)</f>
        <v>#NAME?</v>
      </c>
      <c r="E10" s="34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Calculator'!$B$21,N,$A10,fsw,E$5,Vmod,Vdc/N,Vll,0.6123724357*m*Vmod,Irms,Pkw*1000/(SQRT(3)*Vll*pf),Pcond,N*3*Irms^2*Rds,Esw,(Eon+Eoff)*(Vmod/Vref)^av*(Irms/Iref)^ai,Psw,6*N*(Esw/1000)*(fsw*1000),Pkw*1000/(Pkw*1000+Pcond+Psw+fixed)*100)</f>
        <v>#NAME?</v>
      </c>
      <c r="F10" s="34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Calculator'!$B$21,N,$A10,fsw,F$5,Vmod,Vdc/N,Vll,0.6123724357*m*Vmod,Irms,Pkw*1000/(SQRT(3)*Vll*pf),Pcond,N*3*Irms^2*Rds,Esw,(Eon+Eoff)*(Vmod/Vref)^av*(Irms/Iref)^ai,Psw,6*N*(Esw/1000)*(fsw*1000),Pkw*1000/(Pkw*1000+Pcond+Psw+fixed)*100)</f>
        <v>#NAME?</v>
      </c>
      <c r="G10" s="34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Calculator'!$B$21,N,$A10,fsw,G$5,Vmod,Vdc/N,Vll,0.6123724357*m*Vmod,Irms,Pkw*1000/(SQRT(3)*Vll*pf),Pcond,N*3*Irms^2*Rds,Esw,(Eon+Eoff)*(Vmod/Vref)^av*(Irms/Iref)^ai,Psw,6*N*(Esw/1000)*(fsw*1000),Pkw*1000/(Pkw*1000+Pcond+Psw+fixed)*100)</f>
        <v>#NAME?</v>
      </c>
      <c r="H10" s="35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Calculator'!$B$21,N,$A10,fsw,H$5,Vmod,Vdc/N,Vll,0.6123724357*m*Vmod,Irms,Pkw*1000/(SQRT(3)*Vll*pf),Pcond,N*3*Irms^2*Rds,Esw,(Eon+Eoff)*(Vmod/Vref)^av*(Irms/Iref)^ai,Psw,6*N*(Esw/1000)*(fsw*1000),Pkw*1000/(Pkw*1000+Pcond+Psw+fixed)*100)</f>
        <v>#NAME?</v>
      </c>
    </row>
    <row r="11" spans="1:8" ht="15">
      <c r="A11" s="6">
        <v>6</v>
      </c>
      <c r="B11" s="34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Calculator'!$B$21,N,$A11,fsw,B$5,Vmod,Vdc/N,Vll,0.6123724357*m*Vmod,Irms,Pkw*1000/(SQRT(3)*Vll*pf),Pcond,N*3*Irms^2*Rds,Esw,(Eon+Eoff)*(Vmod/Vref)^av*(Irms/Iref)^ai,Psw,6*N*(Esw/1000)*(fsw*1000),Pkw*1000/(Pkw*1000+Pcond+Psw+fixed)*100)</f>
        <v>#NAME?</v>
      </c>
      <c r="C11" s="34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Calculator'!$B$21,N,$A11,fsw,C$5,Vmod,Vdc/N,Vll,0.6123724357*m*Vmod,Irms,Pkw*1000/(SQRT(3)*Vll*pf),Pcond,N*3*Irms^2*Rds,Esw,(Eon+Eoff)*(Vmod/Vref)^av*(Irms/Iref)^ai,Psw,6*N*(Esw/1000)*(fsw*1000),Pkw*1000/(Pkw*1000+Pcond+Psw+fixed)*100)</f>
        <v>#NAME?</v>
      </c>
      <c r="D11" s="34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Calculator'!$B$21,N,$A11,fsw,D$5,Vmod,Vdc/N,Vll,0.6123724357*m*Vmod,Irms,Pkw*1000/(SQRT(3)*Vll*pf),Pcond,N*3*Irms^2*Rds,Esw,(Eon+Eoff)*(Vmod/Vref)^av*(Irms/Iref)^ai,Psw,6*N*(Esw/1000)*(fsw*1000),Pkw*1000/(Pkw*1000+Pcond+Psw+fixed)*100)</f>
        <v>#NAME?</v>
      </c>
      <c r="E11" s="34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Calculator'!$B$21,N,$A11,fsw,E$5,Vmod,Vdc/N,Vll,0.6123724357*m*Vmod,Irms,Pkw*1000/(SQRT(3)*Vll*pf),Pcond,N*3*Irms^2*Rds,Esw,(Eon+Eoff)*(Vmod/Vref)^av*(Irms/Iref)^ai,Psw,6*N*(Esw/1000)*(fsw*1000),Pkw*1000/(Pkw*1000+Pcond+Psw+fixed)*100)</f>
        <v>#NAME?</v>
      </c>
      <c r="F11" s="34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Calculator'!$B$21,N,$A11,fsw,F$5,Vmod,Vdc/N,Vll,0.6123724357*m*Vmod,Irms,Pkw*1000/(SQRT(3)*Vll*pf),Pcond,N*3*Irms^2*Rds,Esw,(Eon+Eoff)*(Vmod/Vref)^av*(Irms/Iref)^ai,Psw,6*N*(Esw/1000)*(fsw*1000),Pkw*1000/(Pkw*1000+Pcond+Psw+fixed)*100)</f>
        <v>#NAME?</v>
      </c>
      <c r="G11" s="34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Calculator'!$B$21,N,$A11,fsw,G$5,Vmod,Vdc/N,Vll,0.6123724357*m*Vmod,Irms,Pkw*1000/(SQRT(3)*Vll*pf),Pcond,N*3*Irms^2*Rds,Esw,(Eon+Eoff)*(Vmod/Vref)^av*(Irms/Iref)^ai,Psw,6*N*(Esw/1000)*(fsw*1000),Pkw*1000/(Pkw*1000+Pcond+Psw+fixed)*100)</f>
        <v>#NAME?</v>
      </c>
      <c r="H11" s="35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Calculator'!$B$21,N,$A11,fsw,H$5,Vmod,Vdc/N,Vll,0.6123724357*m*Vmod,Irms,Pkw*1000/(SQRT(3)*Vll*pf),Pcond,N*3*Irms^2*Rds,Esw,(Eon+Eoff)*(Vmod/Vref)^av*(Irms/Iref)^ai,Psw,6*N*(Esw/1000)*(fsw*1000),Pkw*1000/(Pkw*1000+Pcond+Psw+fixed)*100)</f>
        <v>#NAME?</v>
      </c>
    </row>
    <row r="12" spans="1:8" ht="15">
      <c r="A12" s="6">
        <v>7</v>
      </c>
      <c r="B12" s="34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Calculator'!$B$21,N,$A12,fsw,B$5,Vmod,Vdc/N,Vll,0.6123724357*m*Vmod,Irms,Pkw*1000/(SQRT(3)*Vll*pf),Pcond,N*3*Irms^2*Rds,Esw,(Eon+Eoff)*(Vmod/Vref)^av*(Irms/Iref)^ai,Psw,6*N*(Esw/1000)*(fsw*1000),Pkw*1000/(Pkw*1000+Pcond+Psw+fixed)*100)</f>
        <v>#NAME?</v>
      </c>
      <c r="C12" s="34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Calculator'!$B$21,N,$A12,fsw,C$5,Vmod,Vdc/N,Vll,0.6123724357*m*Vmod,Irms,Pkw*1000/(SQRT(3)*Vll*pf),Pcond,N*3*Irms^2*Rds,Esw,(Eon+Eoff)*(Vmod/Vref)^av*(Irms/Iref)^ai,Psw,6*N*(Esw/1000)*(fsw*1000),Pkw*1000/(Pkw*1000+Pcond+Psw+fixed)*100)</f>
        <v>#NAME?</v>
      </c>
      <c r="D12" s="34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Calculator'!$B$21,N,$A12,fsw,D$5,Vmod,Vdc/N,Vll,0.6123724357*m*Vmod,Irms,Pkw*1000/(SQRT(3)*Vll*pf),Pcond,N*3*Irms^2*Rds,Esw,(Eon+Eoff)*(Vmod/Vref)^av*(Irms/Iref)^ai,Psw,6*N*(Esw/1000)*(fsw*1000),Pkw*1000/(Pkw*1000+Pcond+Psw+fixed)*100)</f>
        <v>#NAME?</v>
      </c>
      <c r="E12" s="34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Calculator'!$B$21,N,$A12,fsw,E$5,Vmod,Vdc/N,Vll,0.6123724357*m*Vmod,Irms,Pkw*1000/(SQRT(3)*Vll*pf),Pcond,N*3*Irms^2*Rds,Esw,(Eon+Eoff)*(Vmod/Vref)^av*(Irms/Iref)^ai,Psw,6*N*(Esw/1000)*(fsw*1000),Pkw*1000/(Pkw*1000+Pcond+Psw+fixed)*100)</f>
        <v>#NAME?</v>
      </c>
      <c r="F12" s="34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Calculator'!$B$21,N,$A12,fsw,F$5,Vmod,Vdc/N,Vll,0.6123724357*m*Vmod,Irms,Pkw*1000/(SQRT(3)*Vll*pf),Pcond,N*3*Irms^2*Rds,Esw,(Eon+Eoff)*(Vmod/Vref)^av*(Irms/Iref)^ai,Psw,6*N*(Esw/1000)*(fsw*1000),Pkw*1000/(Pkw*1000+Pcond+Psw+fixed)*100)</f>
        <v>#NAME?</v>
      </c>
      <c r="G12" s="34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Calculator'!$B$21,N,$A12,fsw,G$5,Vmod,Vdc/N,Vll,0.6123724357*m*Vmod,Irms,Pkw*1000/(SQRT(3)*Vll*pf),Pcond,N*3*Irms^2*Rds,Esw,(Eon+Eoff)*(Vmod/Vref)^av*(Irms/Iref)^ai,Psw,6*N*(Esw/1000)*(fsw*1000),Pkw*1000/(Pkw*1000+Pcond+Psw+fixed)*100)</f>
        <v>#NAME?</v>
      </c>
      <c r="H12" s="35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Calculator'!$B$21,N,$A12,fsw,H$5,Vmod,Vdc/N,Vll,0.6123724357*m*Vmod,Irms,Pkw*1000/(SQRT(3)*Vll*pf),Pcond,N*3*Irms^2*Rds,Esw,(Eon+Eoff)*(Vmod/Vref)^av*(Irms/Iref)^ai,Psw,6*N*(Esw/1000)*(fsw*1000),Pkw*1000/(Pkw*1000+Pcond+Psw+fixed)*100)</f>
        <v>#NAME?</v>
      </c>
    </row>
    <row r="13" spans="1:8" ht="15">
      <c r="A13" s="18">
        <v>8</v>
      </c>
      <c r="B13" s="37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Calculator'!$B$21,N,$A13,fsw,B$5,Vmod,Vdc/N,Vll,0.6123724357*m*Vmod,Irms,Pkw*1000/(SQRT(3)*Vll*pf),Pcond,N*3*Irms^2*Rds,Esw,(Eon+Eoff)*(Vmod/Vref)^av*(Irms/Iref)^ai,Psw,6*N*(Esw/1000)*(fsw*1000),Pkw*1000/(Pkw*1000+Pcond+Psw+fixed)*100)</f>
        <v>#NAME?</v>
      </c>
      <c r="C13" s="37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Calculator'!$B$21,N,$A13,fsw,C$5,Vmod,Vdc/N,Vll,0.6123724357*m*Vmod,Irms,Pkw*1000/(SQRT(3)*Vll*pf),Pcond,N*3*Irms^2*Rds,Esw,(Eon+Eoff)*(Vmod/Vref)^av*(Irms/Iref)^ai,Psw,6*N*(Esw/1000)*(fsw*1000),Pkw*1000/(Pkw*1000+Pcond+Psw+fixed)*100)</f>
        <v>#NAME?</v>
      </c>
      <c r="D13" s="37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Calculator'!$B$21,N,$A13,fsw,D$5,Vmod,Vdc/N,Vll,0.6123724357*m*Vmod,Irms,Pkw*1000/(SQRT(3)*Vll*pf),Pcond,N*3*Irms^2*Rds,Esw,(Eon+Eoff)*(Vmod/Vref)^av*(Irms/Iref)^ai,Psw,6*N*(Esw/1000)*(fsw*1000),Pkw*1000/(Pkw*1000+Pcond+Psw+fixed)*100)</f>
        <v>#NAME?</v>
      </c>
      <c r="E13" s="37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Calculator'!$B$21,N,$A13,fsw,E$5,Vmod,Vdc/N,Vll,0.6123724357*m*Vmod,Irms,Pkw*1000/(SQRT(3)*Vll*pf),Pcond,N*3*Irms^2*Rds,Esw,(Eon+Eoff)*(Vmod/Vref)^av*(Irms/Iref)^ai,Psw,6*N*(Esw/1000)*(fsw*1000),Pkw*1000/(Pkw*1000+Pcond+Psw+fixed)*100)</f>
        <v>#NAME?</v>
      </c>
      <c r="F13" s="37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Calculator'!$B$21,N,$A13,fsw,F$5,Vmod,Vdc/N,Vll,0.6123724357*m*Vmod,Irms,Pkw*1000/(SQRT(3)*Vll*pf),Pcond,N*3*Irms^2*Rds,Esw,(Eon+Eoff)*(Vmod/Vref)^av*(Irms/Iref)^ai,Psw,6*N*(Esw/1000)*(fsw*1000),Pkw*1000/(Pkw*1000+Pcond+Psw+fixed)*100)</f>
        <v>#NAME?</v>
      </c>
      <c r="G13" s="37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Calculator'!$B$21,N,$A13,fsw,G$5,Vmod,Vdc/N,Vll,0.6123724357*m*Vmod,Irms,Pkw*1000/(SQRT(3)*Vll*pf),Pcond,N*3*Irms^2*Rds,Esw,(Eon+Eoff)*(Vmod/Vref)^av*(Irms/Iref)^ai,Psw,6*N*(Esw/1000)*(fsw*1000),Pkw*1000/(Pkw*1000+Pcond+Psw+fixed)*100)</f>
        <v>#NAME?</v>
      </c>
      <c r="H13" s="38" t="e">
        <f ca="1">_xludf.LET(Vdc,'SPB Loss Calculator'!$B$5,Pkw,'SPB Loss Calculator'!$B$7,pf,'SPB Loss Calculator'!$B$8,m,'SPB Loss Calculator'!$B$9,Rds,'SPB Loss Calculator'!$B$14/1000,Eon,'SPB Loss Calculator'!$B$12,Eoff,'SPB Loss Calculator'!$B$13,Vref,'SPB Loss Calculator'!$B$17,Iref,'SPB Loss Calculator'!$B$18,av,'SPB Loss Calculator'!$B$19,ai,'SPB Loss Calculator'!$B$20,fixed,'SPB Loss Calculator'!$B$21,N,$A13,fsw,H$5,Vmod,Vdc/N,Vll,0.6123724357*m*Vmod,Irms,Pkw*1000/(SQRT(3)*Vll*pf),Pcond,N*3*Irms^2*Rds,Esw,(Eon+Eoff)*(Vmod/Vref)^av*(Irms/Iref)^ai,Psw,6*N*(Esw/1000)*(fsw*1000),Pkw*1000/(Pkw*1000+Pcond+Psw+fixed)*100)</f>
        <v>#NAME?</v>
      </c>
    </row>
  </sheetData>
  <mergeCells count="2">
    <mergeCell ref="A1:H1"/>
    <mergeCell ref="A3:H3"/>
  </mergeCells>
  <conditionalFormatting sqref="B6:H13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workbookViewId="0"/>
  </sheetViews>
  <sheetFormatPr defaultRowHeight="14.25"/>
  <cols>
    <col min="1" max="1" width="110" customWidth="1"/>
  </cols>
  <sheetData>
    <row r="1" spans="1:1" ht="16.5">
      <c r="A1" s="2" t="s">
        <v>87</v>
      </c>
    </row>
    <row r="2" spans="1:1">
      <c r="A2" t="s">
        <v>88</v>
      </c>
    </row>
    <row r="3" spans="1:1">
      <c r="A3" t="s">
        <v>89</v>
      </c>
    </row>
    <row r="4" spans="1:1">
      <c r="A4" t="s">
        <v>90</v>
      </c>
    </row>
    <row r="5" spans="1:1">
      <c r="A5" t="s">
        <v>91</v>
      </c>
    </row>
    <row r="6" spans="1:1">
      <c r="A6" t="s">
        <v>92</v>
      </c>
    </row>
    <row r="7" spans="1:1">
      <c r="A7" t="s">
        <v>93</v>
      </c>
    </row>
    <row r="8" spans="1:1">
      <c r="A8" t="s">
        <v>94</v>
      </c>
    </row>
    <row r="9" spans="1:1">
      <c r="A9" t="s">
        <v>95</v>
      </c>
    </row>
    <row r="10" spans="1:1">
      <c r="A10" t="s">
        <v>96</v>
      </c>
    </row>
    <row r="11" spans="1:1">
      <c r="A1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SPB Loss Calculator</vt:lpstr>
      <vt:lpstr>Sensitivity</vt:lpstr>
      <vt:lpstr>Assumptions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Enes Ayaz</cp:lastModifiedBy>
  <dcterms:modified xsi:type="dcterms:W3CDTF">2026-07-09T11:55:07Z</dcterms:modified>
</cp:coreProperties>
</file>