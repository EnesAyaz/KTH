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KTH\SPB-GaN\"/>
    </mc:Choice>
  </mc:AlternateContent>
  <xr:revisionPtr revIDLastSave="0" documentId="8_{AE1F3707-CF36-4E03-AC8B-80CD2A868B7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PB Loss Calculator" sheetId="1" r:id="rId1"/>
    <sheet name="Sensitivity" sheetId="2" r:id="rId2"/>
    <sheet name="Assumptions &amp; Notes" sheetId="3" r:id="rId3"/>
    <sheet name="Device Selection" sheetId="4" r:id="rId4"/>
    <sheet name="Selection Sweep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3" i="5" l="1"/>
  <c r="C202" i="5"/>
  <c r="C201" i="5"/>
  <c r="C200" i="5"/>
  <c r="D200" i="5" s="1"/>
  <c r="E200" i="5" s="1"/>
  <c r="C199" i="5"/>
  <c r="C198" i="5"/>
  <c r="C197" i="5"/>
  <c r="D196" i="5"/>
  <c r="E196" i="5" s="1"/>
  <c r="F196" i="5" s="1"/>
  <c r="C196" i="5"/>
  <c r="C195" i="5"/>
  <c r="C194" i="5"/>
  <c r="C193" i="5"/>
  <c r="D192" i="5"/>
  <c r="E192" i="5" s="1"/>
  <c r="F192" i="5" s="1"/>
  <c r="C192" i="5"/>
  <c r="C191" i="5"/>
  <c r="C190" i="5"/>
  <c r="C189" i="5"/>
  <c r="C188" i="5"/>
  <c r="C187" i="5"/>
  <c r="C186" i="5"/>
  <c r="C185" i="5"/>
  <c r="C184" i="5"/>
  <c r="D184" i="5" s="1"/>
  <c r="E184" i="5" s="1"/>
  <c r="C183" i="5"/>
  <c r="C182" i="5"/>
  <c r="C181" i="5"/>
  <c r="D180" i="5"/>
  <c r="E180" i="5" s="1"/>
  <c r="C180" i="5"/>
  <c r="C179" i="5"/>
  <c r="C178" i="5"/>
  <c r="C177" i="5"/>
  <c r="D176" i="5"/>
  <c r="C176" i="5"/>
  <c r="C175" i="5"/>
  <c r="C174" i="5"/>
  <c r="C173" i="5"/>
  <c r="C172" i="5"/>
  <c r="D172" i="5" s="1"/>
  <c r="C171" i="5"/>
  <c r="C170" i="5"/>
  <c r="C169" i="5"/>
  <c r="C168" i="5"/>
  <c r="D168" i="5" s="1"/>
  <c r="E168" i="5" s="1"/>
  <c r="C167" i="5"/>
  <c r="C166" i="5"/>
  <c r="C165" i="5"/>
  <c r="C164" i="5"/>
  <c r="D164" i="5" s="1"/>
  <c r="E164" i="5" s="1"/>
  <c r="F164" i="5" s="1"/>
  <c r="C163" i="5"/>
  <c r="C162" i="5"/>
  <c r="C161" i="5"/>
  <c r="C160" i="5"/>
  <c r="C159" i="5"/>
  <c r="C158" i="5"/>
  <c r="C157" i="5"/>
  <c r="C156" i="5"/>
  <c r="D156" i="5" s="1"/>
  <c r="E156" i="5" s="1"/>
  <c r="C155" i="5"/>
  <c r="C154" i="5"/>
  <c r="C153" i="5"/>
  <c r="C152" i="5"/>
  <c r="C151" i="5"/>
  <c r="C150" i="5"/>
  <c r="C149" i="5"/>
  <c r="D148" i="5"/>
  <c r="E148" i="5" s="1"/>
  <c r="F148" i="5" s="1"/>
  <c r="C148" i="5"/>
  <c r="C147" i="5"/>
  <c r="C146" i="5"/>
  <c r="C145" i="5"/>
  <c r="D145" i="5" s="1"/>
  <c r="E145" i="5" s="1"/>
  <c r="C144" i="5"/>
  <c r="D144" i="5" s="1"/>
  <c r="E144" i="5" s="1"/>
  <c r="F144" i="5" s="1"/>
  <c r="C143" i="5"/>
  <c r="C142" i="5"/>
  <c r="C141" i="5"/>
  <c r="C140" i="5"/>
  <c r="C139" i="5"/>
  <c r="C138" i="5"/>
  <c r="D137" i="5"/>
  <c r="E137" i="5" s="1"/>
  <c r="C137" i="5"/>
  <c r="D136" i="5"/>
  <c r="C136" i="5"/>
  <c r="C135" i="5"/>
  <c r="C134" i="5"/>
  <c r="C133" i="5"/>
  <c r="D132" i="5"/>
  <c r="E132" i="5" s="1"/>
  <c r="F132" i="5" s="1"/>
  <c r="C132" i="5"/>
  <c r="C131" i="5"/>
  <c r="C130" i="5"/>
  <c r="D129" i="5"/>
  <c r="E129" i="5" s="1"/>
  <c r="C129" i="5"/>
  <c r="C128" i="5"/>
  <c r="C127" i="5"/>
  <c r="C126" i="5"/>
  <c r="D125" i="5"/>
  <c r="E125" i="5" s="1"/>
  <c r="C125" i="5"/>
  <c r="D124" i="5"/>
  <c r="C124" i="5"/>
  <c r="C123" i="5"/>
  <c r="C122" i="5"/>
  <c r="C121" i="5"/>
  <c r="D120" i="5"/>
  <c r="E120" i="5" s="1"/>
  <c r="F120" i="5" s="1"/>
  <c r="C120" i="5"/>
  <c r="C119" i="5"/>
  <c r="C118" i="5"/>
  <c r="D117" i="5"/>
  <c r="E117" i="5" s="1"/>
  <c r="C117" i="5"/>
  <c r="C116" i="5"/>
  <c r="C115" i="5"/>
  <c r="C114" i="5"/>
  <c r="D113" i="5"/>
  <c r="E113" i="5" s="1"/>
  <c r="C113" i="5"/>
  <c r="D112" i="5"/>
  <c r="C112" i="5"/>
  <c r="C111" i="5"/>
  <c r="C110" i="5"/>
  <c r="C109" i="5"/>
  <c r="D108" i="5"/>
  <c r="E108" i="5" s="1"/>
  <c r="F108" i="5" s="1"/>
  <c r="C108" i="5"/>
  <c r="C107" i="5"/>
  <c r="C106" i="5"/>
  <c r="D105" i="5"/>
  <c r="E105" i="5" s="1"/>
  <c r="C105" i="5"/>
  <c r="C104" i="5"/>
  <c r="C103" i="5"/>
  <c r="C102" i="5"/>
  <c r="D101" i="5"/>
  <c r="E101" i="5" s="1"/>
  <c r="C101" i="5"/>
  <c r="D100" i="5"/>
  <c r="C100" i="5"/>
  <c r="C99" i="5"/>
  <c r="C98" i="5"/>
  <c r="C97" i="5"/>
  <c r="D96" i="5"/>
  <c r="E96" i="5" s="1"/>
  <c r="F96" i="5" s="1"/>
  <c r="C96" i="5"/>
  <c r="C95" i="5"/>
  <c r="C94" i="5"/>
  <c r="D93" i="5"/>
  <c r="E93" i="5" s="1"/>
  <c r="C93" i="5"/>
  <c r="C92" i="5"/>
  <c r="D91" i="5"/>
  <c r="E91" i="5" s="1"/>
  <c r="C91" i="5"/>
  <c r="C90" i="5"/>
  <c r="C89" i="5"/>
  <c r="D88" i="5"/>
  <c r="E88" i="5" s="1"/>
  <c r="F88" i="5" s="1"/>
  <c r="C88" i="5"/>
  <c r="D87" i="5"/>
  <c r="E87" i="5" s="1"/>
  <c r="C87" i="5"/>
  <c r="C86" i="5"/>
  <c r="C85" i="5"/>
  <c r="D85" i="5" s="1"/>
  <c r="E85" i="5" s="1"/>
  <c r="C84" i="5"/>
  <c r="D84" i="5" s="1"/>
  <c r="E84" i="5" s="1"/>
  <c r="D83" i="5"/>
  <c r="E83" i="5" s="1"/>
  <c r="C83" i="5"/>
  <c r="C82" i="5"/>
  <c r="C81" i="5"/>
  <c r="D80" i="5"/>
  <c r="E80" i="5" s="1"/>
  <c r="F80" i="5" s="1"/>
  <c r="C80" i="5"/>
  <c r="D79" i="5"/>
  <c r="E79" i="5" s="1"/>
  <c r="C79" i="5"/>
  <c r="C78" i="5"/>
  <c r="D77" i="5"/>
  <c r="E77" i="5" s="1"/>
  <c r="C77" i="5"/>
  <c r="C76" i="5"/>
  <c r="D75" i="5"/>
  <c r="E75" i="5" s="1"/>
  <c r="C75" i="5"/>
  <c r="C74" i="5"/>
  <c r="C73" i="5"/>
  <c r="D72" i="5"/>
  <c r="E72" i="5" s="1"/>
  <c r="F72" i="5" s="1"/>
  <c r="C72" i="5"/>
  <c r="D71" i="5"/>
  <c r="E71" i="5" s="1"/>
  <c r="C71" i="5"/>
  <c r="C70" i="5"/>
  <c r="C69" i="5"/>
  <c r="C68" i="5"/>
  <c r="D67" i="5"/>
  <c r="E67" i="5" s="1"/>
  <c r="C67" i="5"/>
  <c r="C66" i="5"/>
  <c r="C65" i="5"/>
  <c r="C64" i="5"/>
  <c r="D64" i="5" s="1"/>
  <c r="C63" i="5"/>
  <c r="C62" i="5"/>
  <c r="D61" i="5"/>
  <c r="E61" i="5" s="1"/>
  <c r="C61" i="5"/>
  <c r="D60" i="5"/>
  <c r="E60" i="5" s="1"/>
  <c r="C60" i="5"/>
  <c r="C59" i="5"/>
  <c r="C58" i="5"/>
  <c r="D57" i="5"/>
  <c r="E57" i="5" s="1"/>
  <c r="G57" i="5" s="1"/>
  <c r="H57" i="5" s="1"/>
  <c r="C57" i="5"/>
  <c r="C56" i="5"/>
  <c r="D56" i="5" s="1"/>
  <c r="E56" i="5" s="1"/>
  <c r="D55" i="5"/>
  <c r="E55" i="5" s="1"/>
  <c r="G55" i="5" s="1"/>
  <c r="C55" i="5"/>
  <c r="D54" i="5"/>
  <c r="E54" i="5" s="1"/>
  <c r="C54" i="5"/>
  <c r="C53" i="5"/>
  <c r="C52" i="5"/>
  <c r="C51" i="5"/>
  <c r="D51" i="5" s="1"/>
  <c r="E51" i="5" s="1"/>
  <c r="E50" i="5"/>
  <c r="G50" i="5" s="1"/>
  <c r="D50" i="5"/>
  <c r="C50" i="5"/>
  <c r="D49" i="5"/>
  <c r="E49" i="5" s="1"/>
  <c r="C49" i="5"/>
  <c r="C48" i="5"/>
  <c r="C47" i="5"/>
  <c r="C46" i="5"/>
  <c r="D46" i="5" s="1"/>
  <c r="E46" i="5" s="1"/>
  <c r="F46" i="5" s="1"/>
  <c r="C45" i="5"/>
  <c r="E44" i="5"/>
  <c r="G44" i="5" s="1"/>
  <c r="H44" i="5" s="1"/>
  <c r="C44" i="5"/>
  <c r="D44" i="5" s="1"/>
  <c r="C43" i="5"/>
  <c r="D42" i="5"/>
  <c r="C42" i="5"/>
  <c r="C41" i="5"/>
  <c r="C40" i="5"/>
  <c r="D40" i="5" s="1"/>
  <c r="E40" i="5" s="1"/>
  <c r="C39" i="5"/>
  <c r="C38" i="5"/>
  <c r="D38" i="5" s="1"/>
  <c r="E38" i="5" s="1"/>
  <c r="C37" i="5"/>
  <c r="D37" i="5" s="1"/>
  <c r="E37" i="5" s="1"/>
  <c r="C36" i="5"/>
  <c r="D36" i="5" s="1"/>
  <c r="E36" i="5" s="1"/>
  <c r="D35" i="5"/>
  <c r="E35" i="5" s="1"/>
  <c r="F35" i="5" s="1"/>
  <c r="C35" i="5"/>
  <c r="C34" i="5"/>
  <c r="D33" i="5"/>
  <c r="E33" i="5" s="1"/>
  <c r="G33" i="5" s="1"/>
  <c r="H33" i="5" s="1"/>
  <c r="C33" i="5"/>
  <c r="C32" i="5"/>
  <c r="D31" i="5"/>
  <c r="E31" i="5" s="1"/>
  <c r="F31" i="5" s="1"/>
  <c r="C31" i="5"/>
  <c r="D30" i="5"/>
  <c r="E30" i="5" s="1"/>
  <c r="C30" i="5"/>
  <c r="D29" i="5"/>
  <c r="E29" i="5" s="1"/>
  <c r="C29" i="5"/>
  <c r="D28" i="5"/>
  <c r="E28" i="5" s="1"/>
  <c r="F28" i="5" s="1"/>
  <c r="C28" i="5"/>
  <c r="D27" i="5"/>
  <c r="E27" i="5" s="1"/>
  <c r="G27" i="5" s="1"/>
  <c r="H27" i="5" s="1"/>
  <c r="C27" i="5"/>
  <c r="D26" i="5"/>
  <c r="E26" i="5" s="1"/>
  <c r="C26" i="5"/>
  <c r="D25" i="5"/>
  <c r="E25" i="5" s="1"/>
  <c r="G25" i="5" s="1"/>
  <c r="H25" i="5" s="1"/>
  <c r="C25" i="5"/>
  <c r="C24" i="5"/>
  <c r="D24" i="5" s="1"/>
  <c r="E24" i="5" s="1"/>
  <c r="D23" i="5"/>
  <c r="E23" i="5" s="1"/>
  <c r="G23" i="5" s="1"/>
  <c r="H23" i="5" s="1"/>
  <c r="C23" i="5"/>
  <c r="C22" i="5"/>
  <c r="D21" i="5"/>
  <c r="E21" i="5" s="1"/>
  <c r="F21" i="5" s="1"/>
  <c r="C21" i="5"/>
  <c r="C20" i="5"/>
  <c r="D19" i="5"/>
  <c r="C19" i="5"/>
  <c r="E18" i="5"/>
  <c r="G18" i="5" s="1"/>
  <c r="D18" i="5"/>
  <c r="C18" i="5"/>
  <c r="D17" i="5"/>
  <c r="C17" i="5"/>
  <c r="C16" i="5"/>
  <c r="D15" i="5"/>
  <c r="E15" i="5" s="1"/>
  <c r="G15" i="5" s="1"/>
  <c r="H15" i="5" s="1"/>
  <c r="C15" i="5"/>
  <c r="D14" i="5"/>
  <c r="E14" i="5" s="1"/>
  <c r="C14" i="5"/>
  <c r="D13" i="5"/>
  <c r="E13" i="5" s="1"/>
  <c r="F13" i="5" s="1"/>
  <c r="C13" i="5"/>
  <c r="C12" i="5"/>
  <c r="D11" i="5"/>
  <c r="E11" i="5" s="1"/>
  <c r="G11" i="5" s="1"/>
  <c r="H11" i="5" s="1"/>
  <c r="C11" i="5"/>
  <c r="C10" i="5"/>
  <c r="D9" i="5"/>
  <c r="E9" i="5" s="1"/>
  <c r="G9" i="5" s="1"/>
  <c r="H9" i="5" s="1"/>
  <c r="C9" i="5"/>
  <c r="C8" i="5"/>
  <c r="D7" i="5"/>
  <c r="C7" i="5"/>
  <c r="E6" i="5"/>
  <c r="G6" i="5" s="1"/>
  <c r="D6" i="5"/>
  <c r="C6" i="5"/>
  <c r="D5" i="5"/>
  <c r="C5" i="5"/>
  <c r="C4" i="5"/>
  <c r="F67" i="4"/>
  <c r="C67" i="4"/>
  <c r="F66" i="4"/>
  <c r="C66" i="4"/>
  <c r="F65" i="4"/>
  <c r="C65" i="4"/>
  <c r="F64" i="4"/>
  <c r="C64" i="4"/>
  <c r="F63" i="4"/>
  <c r="C63" i="4"/>
  <c r="F62" i="4"/>
  <c r="C62" i="4"/>
  <c r="F61" i="4"/>
  <c r="C61" i="4"/>
  <c r="F60" i="4"/>
  <c r="C60" i="4"/>
  <c r="F59" i="4"/>
  <c r="C59" i="4"/>
  <c r="F58" i="4"/>
  <c r="C58" i="4"/>
  <c r="F57" i="4"/>
  <c r="C57" i="4"/>
  <c r="F56" i="4"/>
  <c r="C56" i="4"/>
  <c r="F55" i="4"/>
  <c r="C55" i="4"/>
  <c r="F54" i="4"/>
  <c r="C54" i="4"/>
  <c r="F53" i="4"/>
  <c r="C53" i="4"/>
  <c r="F52" i="4"/>
  <c r="C52" i="4"/>
  <c r="F51" i="4"/>
  <c r="C51" i="4"/>
  <c r="F50" i="4"/>
  <c r="C50" i="4"/>
  <c r="F49" i="4"/>
  <c r="C49" i="4"/>
  <c r="F48" i="4"/>
  <c r="C48" i="4"/>
  <c r="B23" i="4"/>
  <c r="K22" i="4"/>
  <c r="B19" i="4"/>
  <c r="B20" i="4" s="1"/>
  <c r="B32" i="4" s="1"/>
  <c r="A45" i="1"/>
  <c r="A44" i="1"/>
  <c r="A43" i="1"/>
  <c r="A42" i="1"/>
  <c r="A41" i="1"/>
  <c r="A40" i="1"/>
  <c r="A39" i="1"/>
  <c r="A38" i="1"/>
  <c r="A37" i="1"/>
  <c r="A36" i="1"/>
  <c r="B31" i="1"/>
  <c r="N7" i="1" s="1"/>
  <c r="B30" i="1"/>
  <c r="B27" i="1"/>
  <c r="K7" i="1" s="1"/>
  <c r="B24" i="1"/>
  <c r="B28" i="1" s="1"/>
  <c r="K6" i="1"/>
  <c r="K4" i="1"/>
  <c r="G13" i="5" l="1"/>
  <c r="H13" i="5" s="1"/>
  <c r="G120" i="5"/>
  <c r="H120" i="5" s="1"/>
  <c r="F50" i="5"/>
  <c r="F25" i="5"/>
  <c r="F44" i="5"/>
  <c r="G31" i="5"/>
  <c r="H31" i="5" s="1"/>
  <c r="G21" i="5"/>
  <c r="H21" i="5" s="1"/>
  <c r="F33" i="5"/>
  <c r="G72" i="5"/>
  <c r="H72" i="5" s="1"/>
  <c r="G88" i="5"/>
  <c r="H88" i="5" s="1"/>
  <c r="G148" i="5"/>
  <c r="H148" i="5" s="1"/>
  <c r="G35" i="5"/>
  <c r="H35" i="5" s="1"/>
  <c r="G108" i="5"/>
  <c r="H108" i="5" s="1"/>
  <c r="F9" i="5"/>
  <c r="G144" i="5"/>
  <c r="H144" i="5" s="1"/>
  <c r="G164" i="5"/>
  <c r="H164" i="5" s="1"/>
  <c r="G196" i="5"/>
  <c r="H196" i="5" s="1"/>
  <c r="F57" i="5"/>
  <c r="K20" i="4"/>
  <c r="K26" i="4"/>
  <c r="F54" i="5"/>
  <c r="G54" i="5"/>
  <c r="H54" i="5" s="1"/>
  <c r="G145" i="5"/>
  <c r="H145" i="5" s="1"/>
  <c r="F145" i="5"/>
  <c r="F200" i="5"/>
  <c r="G200" i="5"/>
  <c r="H200" i="5" s="1"/>
  <c r="G30" i="5"/>
  <c r="H30" i="5" s="1"/>
  <c r="F30" i="5"/>
  <c r="F38" i="5"/>
  <c r="G38" i="5"/>
  <c r="H38" i="5" s="1"/>
  <c r="F156" i="5"/>
  <c r="G156" i="5"/>
  <c r="H156" i="5" s="1"/>
  <c r="E64" i="5"/>
  <c r="G85" i="5"/>
  <c r="F85" i="5"/>
  <c r="G36" i="5"/>
  <c r="H36" i="5" s="1"/>
  <c r="F36" i="5"/>
  <c r="F14" i="5"/>
  <c r="G14" i="5"/>
  <c r="H14" i="5" s="1"/>
  <c r="G26" i="5"/>
  <c r="H26" i="5" s="1"/>
  <c r="F26" i="5"/>
  <c r="G24" i="5"/>
  <c r="F24" i="5"/>
  <c r="E172" i="5"/>
  <c r="G49" i="5"/>
  <c r="H49" i="5" s="1"/>
  <c r="F49" i="5"/>
  <c r="D58" i="5"/>
  <c r="E58" i="5" s="1"/>
  <c r="D121" i="5"/>
  <c r="E121" i="5" s="1"/>
  <c r="D22" i="5"/>
  <c r="E22" i="5" s="1"/>
  <c r="G28" i="5"/>
  <c r="D92" i="5"/>
  <c r="E92" i="5" s="1"/>
  <c r="D189" i="5"/>
  <c r="E189" i="5" s="1"/>
  <c r="G40" i="5"/>
  <c r="H40" i="5" s="1"/>
  <c r="F40" i="5"/>
  <c r="E136" i="5"/>
  <c r="E5" i="5"/>
  <c r="D12" i="5"/>
  <c r="E12" i="5" s="1"/>
  <c r="F18" i="5"/>
  <c r="H85" i="5"/>
  <c r="G91" i="5"/>
  <c r="H91" i="5" s="1"/>
  <c r="F91" i="5"/>
  <c r="G113" i="5"/>
  <c r="H113" i="5" s="1"/>
  <c r="F113" i="5"/>
  <c r="G129" i="5"/>
  <c r="F129" i="5"/>
  <c r="D152" i="5"/>
  <c r="E152" i="5" s="1"/>
  <c r="E19" i="5"/>
  <c r="D41" i="5"/>
  <c r="E41" i="5" s="1"/>
  <c r="D45" i="5"/>
  <c r="E45" i="5" s="1"/>
  <c r="E100" i="5"/>
  <c r="G137" i="5"/>
  <c r="H137" i="5" s="1"/>
  <c r="F137" i="5"/>
  <c r="F29" i="5"/>
  <c r="G29" i="5"/>
  <c r="H29" i="5" s="1"/>
  <c r="F60" i="5"/>
  <c r="G60" i="5"/>
  <c r="H60" i="5" s="1"/>
  <c r="G51" i="5"/>
  <c r="F51" i="5"/>
  <c r="G80" i="5"/>
  <c r="E124" i="5"/>
  <c r="B25" i="1"/>
  <c r="B26" i="1" s="1"/>
  <c r="H55" i="5"/>
  <c r="H80" i="5"/>
  <c r="F25" i="1"/>
  <c r="D10" i="5"/>
  <c r="E10" i="5" s="1"/>
  <c r="D62" i="5"/>
  <c r="E62" i="5" s="1"/>
  <c r="G192" i="5"/>
  <c r="H192" i="5" s="1"/>
  <c r="E7" i="5"/>
  <c r="D52" i="5"/>
  <c r="E52" i="5" s="1"/>
  <c r="G125" i="5"/>
  <c r="H125" i="5" s="1"/>
  <c r="F125" i="5"/>
  <c r="F184" i="5"/>
  <c r="G184" i="5"/>
  <c r="H184" i="5" s="1"/>
  <c r="E17" i="5"/>
  <c r="D69" i="5"/>
  <c r="E69" i="5" s="1"/>
  <c r="D104" i="5"/>
  <c r="E104" i="5" s="1"/>
  <c r="F168" i="5"/>
  <c r="G168" i="5"/>
  <c r="H168" i="5" s="1"/>
  <c r="D193" i="5"/>
  <c r="E193" i="5" s="1"/>
  <c r="F180" i="5"/>
  <c r="G180" i="5"/>
  <c r="H180" i="5" s="1"/>
  <c r="F6" i="5"/>
  <c r="F55" i="5"/>
  <c r="E42" i="5"/>
  <c r="H51" i="5"/>
  <c r="G101" i="5"/>
  <c r="H101" i="5" s="1"/>
  <c r="F101" i="5"/>
  <c r="D109" i="5"/>
  <c r="E109" i="5" s="1"/>
  <c r="D140" i="5"/>
  <c r="E140" i="5" s="1"/>
  <c r="D165" i="5"/>
  <c r="E165" i="5" s="1"/>
  <c r="D4" i="5"/>
  <c r="E4" i="5" s="1"/>
  <c r="D63" i="5"/>
  <c r="E63" i="5" s="1"/>
  <c r="G75" i="5"/>
  <c r="H75" i="5" s="1"/>
  <c r="F75" i="5"/>
  <c r="D133" i="5"/>
  <c r="E133" i="5" s="1"/>
  <c r="D157" i="5"/>
  <c r="E157" i="5" s="1"/>
  <c r="D34" i="5"/>
  <c r="E34" i="5" s="1"/>
  <c r="D76" i="5"/>
  <c r="E76" i="5" s="1"/>
  <c r="G96" i="5"/>
  <c r="H96" i="5" s="1"/>
  <c r="K3" i="1"/>
  <c r="F11" i="5"/>
  <c r="D48" i="5"/>
  <c r="E48" i="5" s="1"/>
  <c r="G83" i="5"/>
  <c r="H83" i="5" s="1"/>
  <c r="F83" i="5"/>
  <c r="E112" i="5"/>
  <c r="E176" i="5"/>
  <c r="D185" i="5"/>
  <c r="E185" i="5" s="1"/>
  <c r="G67" i="5"/>
  <c r="H67" i="5" s="1"/>
  <c r="F67" i="5"/>
  <c r="G93" i="5"/>
  <c r="H93" i="5" s="1"/>
  <c r="F93" i="5"/>
  <c r="D116" i="5"/>
  <c r="E116" i="5" s="1"/>
  <c r="D16" i="5"/>
  <c r="E16" i="5" s="1"/>
  <c r="F23" i="5"/>
  <c r="G61" i="5"/>
  <c r="H61" i="5" s="1"/>
  <c r="F61" i="5"/>
  <c r="D68" i="5"/>
  <c r="E68" i="5" s="1"/>
  <c r="G117" i="5"/>
  <c r="H117" i="5" s="1"/>
  <c r="F117" i="5"/>
  <c r="G132" i="5"/>
  <c r="H132" i="5" s="1"/>
  <c r="H24" i="5"/>
  <c r="D47" i="5"/>
  <c r="E47" i="5" s="1"/>
  <c r="H28" i="5"/>
  <c r="D39" i="5"/>
  <c r="E39" i="5" s="1"/>
  <c r="G77" i="5"/>
  <c r="H77" i="5" s="1"/>
  <c r="F77" i="5"/>
  <c r="F84" i="5"/>
  <c r="G84" i="5"/>
  <c r="H84" i="5" s="1"/>
  <c r="D97" i="5"/>
  <c r="E97" i="5" s="1"/>
  <c r="G105" i="5"/>
  <c r="H105" i="5" s="1"/>
  <c r="F105" i="5"/>
  <c r="D128" i="5"/>
  <c r="E128" i="5" s="1"/>
  <c r="D160" i="5"/>
  <c r="E160" i="5" s="1"/>
  <c r="D169" i="5"/>
  <c r="E169" i="5" s="1"/>
  <c r="D149" i="5"/>
  <c r="E149" i="5" s="1"/>
  <c r="D197" i="5"/>
  <c r="E197" i="5" s="1"/>
  <c r="D73" i="5"/>
  <c r="E73" i="5" s="1"/>
  <c r="G79" i="5"/>
  <c r="H79" i="5" s="1"/>
  <c r="F79" i="5"/>
  <c r="D89" i="5"/>
  <c r="E89" i="5" s="1"/>
  <c r="D177" i="5"/>
  <c r="E177" i="5" s="1"/>
  <c r="K24" i="4"/>
  <c r="K21" i="4"/>
  <c r="K18" i="4"/>
  <c r="F56" i="5"/>
  <c r="G56" i="5"/>
  <c r="H56" i="5" s="1"/>
  <c r="D173" i="5"/>
  <c r="E173" i="5" s="1"/>
  <c r="C37" i="1"/>
  <c r="C39" i="1"/>
  <c r="K17" i="4"/>
  <c r="K19" i="4"/>
  <c r="B21" i="4"/>
  <c r="K23" i="4"/>
  <c r="D65" i="5"/>
  <c r="E65" i="5" s="1"/>
  <c r="G71" i="5"/>
  <c r="H71" i="5" s="1"/>
  <c r="F71" i="5"/>
  <c r="D81" i="5"/>
  <c r="E81" i="5" s="1"/>
  <c r="G87" i="5"/>
  <c r="H87" i="5" s="1"/>
  <c r="F87" i="5"/>
  <c r="D153" i="5"/>
  <c r="E153" i="5" s="1"/>
  <c r="D188" i="5"/>
  <c r="E188" i="5" s="1"/>
  <c r="D201" i="5"/>
  <c r="E201" i="5" s="1"/>
  <c r="D8" i="5"/>
  <c r="E8" i="5" s="1"/>
  <c r="F15" i="5"/>
  <c r="D20" i="5"/>
  <c r="E20" i="5" s="1"/>
  <c r="F27" i="5"/>
  <c r="D32" i="5"/>
  <c r="E32" i="5" s="1"/>
  <c r="G37" i="5"/>
  <c r="H37" i="5" s="1"/>
  <c r="F37" i="5"/>
  <c r="D43" i="5"/>
  <c r="E43" i="5" s="1"/>
  <c r="G46" i="5"/>
  <c r="H46" i="5" s="1"/>
  <c r="H50" i="5"/>
  <c r="D53" i="5"/>
  <c r="E53" i="5" s="1"/>
  <c r="D181" i="5"/>
  <c r="E181" i="5" s="1"/>
  <c r="K25" i="4"/>
  <c r="C38" i="1"/>
  <c r="C41" i="1"/>
  <c r="H6" i="5"/>
  <c r="H18" i="5"/>
  <c r="H129" i="5"/>
  <c r="D141" i="5"/>
  <c r="E141" i="5" s="1"/>
  <c r="D161" i="5"/>
  <c r="E161" i="5" s="1"/>
  <c r="D66" i="5"/>
  <c r="E66" i="5" s="1"/>
  <c r="D70" i="5"/>
  <c r="E70" i="5" s="1"/>
  <c r="D74" i="5"/>
  <c r="E74" i="5" s="1"/>
  <c r="D78" i="5"/>
  <c r="E78" i="5" s="1"/>
  <c r="D82" i="5"/>
  <c r="E82" i="5" s="1"/>
  <c r="D86" i="5"/>
  <c r="E86" i="5" s="1"/>
  <c r="D90" i="5"/>
  <c r="E90" i="5" s="1"/>
  <c r="D94" i="5"/>
  <c r="E94" i="5" s="1"/>
  <c r="D98" i="5"/>
  <c r="E98" i="5" s="1"/>
  <c r="D102" i="5"/>
  <c r="E102" i="5" s="1"/>
  <c r="D106" i="5"/>
  <c r="E106" i="5" s="1"/>
  <c r="D110" i="5"/>
  <c r="E110" i="5" s="1"/>
  <c r="D114" i="5"/>
  <c r="E114" i="5" s="1"/>
  <c r="D118" i="5"/>
  <c r="E118" i="5" s="1"/>
  <c r="D122" i="5"/>
  <c r="E122" i="5" s="1"/>
  <c r="D126" i="5"/>
  <c r="E126" i="5" s="1"/>
  <c r="D130" i="5"/>
  <c r="E130" i="5" s="1"/>
  <c r="D134" i="5"/>
  <c r="E134" i="5" s="1"/>
  <c r="D138" i="5"/>
  <c r="E138" i="5" s="1"/>
  <c r="D142" i="5"/>
  <c r="E142" i="5" s="1"/>
  <c r="D146" i="5"/>
  <c r="E146" i="5" s="1"/>
  <c r="D150" i="5"/>
  <c r="E150" i="5" s="1"/>
  <c r="D154" i="5"/>
  <c r="E154" i="5" s="1"/>
  <c r="D158" i="5"/>
  <c r="E158" i="5" s="1"/>
  <c r="D162" i="5"/>
  <c r="E162" i="5" s="1"/>
  <c r="D166" i="5"/>
  <c r="E166" i="5" s="1"/>
  <c r="D170" i="5"/>
  <c r="E170" i="5" s="1"/>
  <c r="D174" i="5"/>
  <c r="E174" i="5" s="1"/>
  <c r="D178" i="5"/>
  <c r="E178" i="5" s="1"/>
  <c r="D182" i="5"/>
  <c r="E182" i="5" s="1"/>
  <c r="D186" i="5"/>
  <c r="E186" i="5" s="1"/>
  <c r="D190" i="5"/>
  <c r="E190" i="5" s="1"/>
  <c r="D194" i="5"/>
  <c r="E194" i="5" s="1"/>
  <c r="D198" i="5"/>
  <c r="E198" i="5" s="1"/>
  <c r="D202" i="5"/>
  <c r="E202" i="5" s="1"/>
  <c r="D59" i="5"/>
  <c r="E59" i="5" s="1"/>
  <c r="D95" i="5"/>
  <c r="E95" i="5" s="1"/>
  <c r="D99" i="5"/>
  <c r="E99" i="5" s="1"/>
  <c r="D103" i="5"/>
  <c r="E103" i="5" s="1"/>
  <c r="D107" i="5"/>
  <c r="E107" i="5" s="1"/>
  <c r="D111" i="5"/>
  <c r="E111" i="5" s="1"/>
  <c r="D115" i="5"/>
  <c r="E115" i="5" s="1"/>
  <c r="D119" i="5"/>
  <c r="E119" i="5" s="1"/>
  <c r="D123" i="5"/>
  <c r="E123" i="5" s="1"/>
  <c r="D127" i="5"/>
  <c r="E127" i="5" s="1"/>
  <c r="D131" i="5"/>
  <c r="E131" i="5" s="1"/>
  <c r="D135" i="5"/>
  <c r="E135" i="5" s="1"/>
  <c r="D139" i="5"/>
  <c r="E139" i="5" s="1"/>
  <c r="D143" i="5"/>
  <c r="E143" i="5" s="1"/>
  <c r="D147" i="5"/>
  <c r="E147" i="5" s="1"/>
  <c r="D151" i="5"/>
  <c r="E151" i="5" s="1"/>
  <c r="D155" i="5"/>
  <c r="E155" i="5" s="1"/>
  <c r="D159" i="5"/>
  <c r="E159" i="5" s="1"/>
  <c r="D163" i="5"/>
  <c r="E163" i="5" s="1"/>
  <c r="D167" i="5"/>
  <c r="E167" i="5" s="1"/>
  <c r="D171" i="5"/>
  <c r="E171" i="5" s="1"/>
  <c r="D175" i="5"/>
  <c r="E175" i="5" s="1"/>
  <c r="D179" i="5"/>
  <c r="E179" i="5" s="1"/>
  <c r="D183" i="5"/>
  <c r="E183" i="5" s="1"/>
  <c r="D187" i="5"/>
  <c r="E187" i="5" s="1"/>
  <c r="D191" i="5"/>
  <c r="E191" i="5" s="1"/>
  <c r="D195" i="5"/>
  <c r="E195" i="5" s="1"/>
  <c r="D199" i="5"/>
  <c r="E199" i="5" s="1"/>
  <c r="D203" i="5"/>
  <c r="E203" i="5" s="1"/>
  <c r="G135" i="5" l="1"/>
  <c r="F135" i="5"/>
  <c r="G141" i="5"/>
  <c r="H141" i="5" s="1"/>
  <c r="F141" i="5"/>
  <c r="G10" i="5"/>
  <c r="H10" i="5" s="1"/>
  <c r="F10" i="5"/>
  <c r="F142" i="5"/>
  <c r="G142" i="5"/>
  <c r="H142" i="5" s="1"/>
  <c r="F12" i="5"/>
  <c r="G12" i="5"/>
  <c r="H12" i="5" s="1"/>
  <c r="G171" i="5"/>
  <c r="H171" i="5" s="1"/>
  <c r="F171" i="5"/>
  <c r="G123" i="5"/>
  <c r="F123" i="5"/>
  <c r="F182" i="5"/>
  <c r="G182" i="5"/>
  <c r="H182" i="5" s="1"/>
  <c r="F134" i="5"/>
  <c r="G134" i="5"/>
  <c r="H134" i="5" s="1"/>
  <c r="F86" i="5"/>
  <c r="G86" i="5"/>
  <c r="H86" i="5" s="1"/>
  <c r="G65" i="5"/>
  <c r="H65" i="5" s="1"/>
  <c r="F65" i="5"/>
  <c r="G177" i="5"/>
  <c r="H177" i="5" s="1"/>
  <c r="F177" i="5"/>
  <c r="F68" i="5"/>
  <c r="G68" i="5"/>
  <c r="H68" i="5" s="1"/>
  <c r="G48" i="5"/>
  <c r="F48" i="5"/>
  <c r="F104" i="5"/>
  <c r="G104" i="5"/>
  <c r="H104" i="5" s="1"/>
  <c r="F52" i="5"/>
  <c r="G52" i="5"/>
  <c r="H52" i="5" s="1"/>
  <c r="C44" i="1"/>
  <c r="C45" i="1"/>
  <c r="F26" i="1"/>
  <c r="N6" i="1" s="1"/>
  <c r="C36" i="1"/>
  <c r="C42" i="1"/>
  <c r="C40" i="1"/>
  <c r="C43" i="1"/>
  <c r="G45" i="5"/>
  <c r="H45" i="5" s="1"/>
  <c r="F45" i="5"/>
  <c r="G183" i="5"/>
  <c r="H183" i="5" s="1"/>
  <c r="F183" i="5"/>
  <c r="F146" i="5"/>
  <c r="G146" i="5"/>
  <c r="H146" i="5" s="1"/>
  <c r="G201" i="5"/>
  <c r="H201" i="5" s="1"/>
  <c r="F201" i="5"/>
  <c r="F100" i="5"/>
  <c r="G100" i="5"/>
  <c r="H100" i="5" s="1"/>
  <c r="F94" i="5"/>
  <c r="G94" i="5"/>
  <c r="H94" i="5" s="1"/>
  <c r="G73" i="5"/>
  <c r="H73" i="5" s="1"/>
  <c r="F73" i="5"/>
  <c r="G175" i="5"/>
  <c r="H175" i="5" s="1"/>
  <c r="F175" i="5"/>
  <c r="F160" i="5"/>
  <c r="G160" i="5"/>
  <c r="H160" i="5" s="1"/>
  <c r="F152" i="5"/>
  <c r="G152" i="5"/>
  <c r="H152" i="5" s="1"/>
  <c r="G167" i="5"/>
  <c r="H167" i="5" s="1"/>
  <c r="F167" i="5"/>
  <c r="F178" i="5"/>
  <c r="G178" i="5"/>
  <c r="H178" i="5" s="1"/>
  <c r="G153" i="5"/>
  <c r="H153" i="5" s="1"/>
  <c r="F153" i="5"/>
  <c r="G197" i="5"/>
  <c r="H197" i="5" s="1"/>
  <c r="F197" i="5"/>
  <c r="G157" i="5"/>
  <c r="H157" i="5" s="1"/>
  <c r="F157" i="5"/>
  <c r="F58" i="5"/>
  <c r="G58" i="5"/>
  <c r="H58" i="5" s="1"/>
  <c r="G163" i="5"/>
  <c r="F163" i="5"/>
  <c r="F174" i="5"/>
  <c r="G174" i="5"/>
  <c r="H174" i="5" s="1"/>
  <c r="F140" i="5"/>
  <c r="G140" i="5"/>
  <c r="H140" i="5" s="1"/>
  <c r="G7" i="5"/>
  <c r="H7" i="5" s="1"/>
  <c r="F7" i="5"/>
  <c r="G159" i="5"/>
  <c r="H159" i="5" s="1"/>
  <c r="F159" i="5"/>
  <c r="F170" i="5"/>
  <c r="G170" i="5"/>
  <c r="H170" i="5" s="1"/>
  <c r="F74" i="5"/>
  <c r="G74" i="5"/>
  <c r="H74" i="5" s="1"/>
  <c r="G155" i="5"/>
  <c r="H155" i="5" s="1"/>
  <c r="F155" i="5"/>
  <c r="F118" i="5"/>
  <c r="G118" i="5"/>
  <c r="H118" i="5" s="1"/>
  <c r="F70" i="5"/>
  <c r="G70" i="5"/>
  <c r="H70" i="5" s="1"/>
  <c r="G181" i="5"/>
  <c r="H181" i="5" s="1"/>
  <c r="F181" i="5"/>
  <c r="G32" i="5"/>
  <c r="H32" i="5" s="1"/>
  <c r="F32" i="5"/>
  <c r="G149" i="5"/>
  <c r="H149" i="5" s="1"/>
  <c r="F149" i="5"/>
  <c r="G16" i="5"/>
  <c r="H16" i="5" s="1"/>
  <c r="F16" i="5"/>
  <c r="F176" i="5"/>
  <c r="G176" i="5"/>
  <c r="H176" i="5" s="1"/>
  <c r="G133" i="5"/>
  <c r="H133" i="5" s="1"/>
  <c r="F133" i="5"/>
  <c r="G109" i="5"/>
  <c r="H109" i="5" s="1"/>
  <c r="F109" i="5"/>
  <c r="B29" i="1"/>
  <c r="F24" i="1"/>
  <c r="K5" i="1"/>
  <c r="F136" i="5"/>
  <c r="G136" i="5"/>
  <c r="H136" i="5" s="1"/>
  <c r="F194" i="5"/>
  <c r="G194" i="5"/>
  <c r="H194" i="5" s="1"/>
  <c r="G81" i="5"/>
  <c r="H81" i="5" s="1"/>
  <c r="F81" i="5"/>
  <c r="G34" i="5"/>
  <c r="H34" i="5" s="1"/>
  <c r="F34" i="5"/>
  <c r="F190" i="5"/>
  <c r="G190" i="5"/>
  <c r="H190" i="5" s="1"/>
  <c r="G4" i="5"/>
  <c r="H4" i="5" s="1"/>
  <c r="F4" i="5"/>
  <c r="G127" i="5"/>
  <c r="H127" i="5" s="1"/>
  <c r="F127" i="5"/>
  <c r="F90" i="5"/>
  <c r="G90" i="5"/>
  <c r="H90" i="5" s="1"/>
  <c r="G119" i="5"/>
  <c r="H119" i="5" s="1"/>
  <c r="F119" i="5"/>
  <c r="H135" i="5"/>
  <c r="G173" i="5"/>
  <c r="H173" i="5" s="1"/>
  <c r="F173" i="5"/>
  <c r="G185" i="5"/>
  <c r="H185" i="5" s="1"/>
  <c r="F185" i="5"/>
  <c r="F92" i="5"/>
  <c r="G92" i="5"/>
  <c r="H92" i="5" s="1"/>
  <c r="G115" i="5"/>
  <c r="H115" i="5" s="1"/>
  <c r="F115" i="5"/>
  <c r="F126" i="5"/>
  <c r="G126" i="5"/>
  <c r="H126" i="5" s="1"/>
  <c r="G111" i="5"/>
  <c r="H111" i="5" s="1"/>
  <c r="F111" i="5"/>
  <c r="F122" i="5"/>
  <c r="G122" i="5"/>
  <c r="H122" i="5" s="1"/>
  <c r="H48" i="5"/>
  <c r="G19" i="5"/>
  <c r="H19" i="5" s="1"/>
  <c r="F19" i="5"/>
  <c r="G203" i="5"/>
  <c r="H203" i="5" s="1"/>
  <c r="F203" i="5"/>
  <c r="G107" i="5"/>
  <c r="H107" i="5" s="1"/>
  <c r="F107" i="5"/>
  <c r="H123" i="5"/>
  <c r="F166" i="5"/>
  <c r="G166" i="5"/>
  <c r="H166" i="5" s="1"/>
  <c r="G199" i="5"/>
  <c r="H199" i="5" s="1"/>
  <c r="F199" i="5"/>
  <c r="G151" i="5"/>
  <c r="H151" i="5" s="1"/>
  <c r="F151" i="5"/>
  <c r="G103" i="5"/>
  <c r="H103" i="5" s="1"/>
  <c r="F103" i="5"/>
  <c r="G59" i="5"/>
  <c r="H59" i="5" s="1"/>
  <c r="F59" i="5"/>
  <c r="F162" i="5"/>
  <c r="G162" i="5"/>
  <c r="H162" i="5" s="1"/>
  <c r="F114" i="5"/>
  <c r="G114" i="5"/>
  <c r="H114" i="5" s="1"/>
  <c r="F66" i="5"/>
  <c r="G66" i="5"/>
  <c r="H66" i="5" s="1"/>
  <c r="G97" i="5"/>
  <c r="H97" i="5" s="1"/>
  <c r="F97" i="5"/>
  <c r="F17" i="5"/>
  <c r="G17" i="5"/>
  <c r="H17" i="5" s="1"/>
  <c r="G189" i="5"/>
  <c r="H189" i="5" s="1"/>
  <c r="F189" i="5"/>
  <c r="F186" i="5"/>
  <c r="G186" i="5"/>
  <c r="H186" i="5" s="1"/>
  <c r="F130" i="5"/>
  <c r="G130" i="5"/>
  <c r="H130" i="5" s="1"/>
  <c r="G39" i="5"/>
  <c r="H39" i="5" s="1"/>
  <c r="F39" i="5"/>
  <c r="G41" i="5"/>
  <c r="H41" i="5" s="1"/>
  <c r="F41" i="5"/>
  <c r="G69" i="5"/>
  <c r="H69" i="5" s="1"/>
  <c r="F69" i="5"/>
  <c r="G195" i="5"/>
  <c r="H195" i="5" s="1"/>
  <c r="F195" i="5"/>
  <c r="G22" i="5"/>
  <c r="H22" i="5" s="1"/>
  <c r="F22" i="5"/>
  <c r="F172" i="5"/>
  <c r="G172" i="5"/>
  <c r="H172" i="5" s="1"/>
  <c r="G53" i="5"/>
  <c r="H53" i="5" s="1"/>
  <c r="F53" i="5"/>
  <c r="G131" i="5"/>
  <c r="H131" i="5" s="1"/>
  <c r="F131" i="5"/>
  <c r="F188" i="5"/>
  <c r="G188" i="5"/>
  <c r="H188" i="5" s="1"/>
  <c r="G165" i="5"/>
  <c r="H165" i="5" s="1"/>
  <c r="F165" i="5"/>
  <c r="F82" i="5"/>
  <c r="G82" i="5"/>
  <c r="H82" i="5" s="1"/>
  <c r="G5" i="5"/>
  <c r="H5" i="5" s="1"/>
  <c r="F5" i="5"/>
  <c r="F78" i="5"/>
  <c r="G78" i="5"/>
  <c r="H78" i="5" s="1"/>
  <c r="G147" i="5"/>
  <c r="H147" i="5" s="1"/>
  <c r="F147" i="5"/>
  <c r="F110" i="5"/>
  <c r="G110" i="5"/>
  <c r="H110" i="5" s="1"/>
  <c r="F62" i="5"/>
  <c r="G62" i="5"/>
  <c r="H62" i="5" s="1"/>
  <c r="G143" i="5"/>
  <c r="H143" i="5" s="1"/>
  <c r="F143" i="5"/>
  <c r="F202" i="5"/>
  <c r="G202" i="5"/>
  <c r="H202" i="5" s="1"/>
  <c r="G161" i="5"/>
  <c r="H161" i="5" s="1"/>
  <c r="F161" i="5"/>
  <c r="G47" i="5"/>
  <c r="H47" i="5" s="1"/>
  <c r="F47" i="5"/>
  <c r="F112" i="5"/>
  <c r="G112" i="5"/>
  <c r="H112" i="5" s="1"/>
  <c r="F98" i="5"/>
  <c r="G98" i="5"/>
  <c r="H98" i="5" s="1"/>
  <c r="G169" i="5"/>
  <c r="H169" i="5" s="1"/>
  <c r="F169" i="5"/>
  <c r="G179" i="5"/>
  <c r="H179" i="5" s="1"/>
  <c r="F179" i="5"/>
  <c r="F42" i="5"/>
  <c r="G42" i="5"/>
  <c r="H42" i="5" s="1"/>
  <c r="F138" i="5"/>
  <c r="G138" i="5"/>
  <c r="H138" i="5" s="1"/>
  <c r="G43" i="5"/>
  <c r="H43" i="5" s="1"/>
  <c r="F43" i="5"/>
  <c r="F128" i="5"/>
  <c r="G128" i="5"/>
  <c r="H128" i="5" s="1"/>
  <c r="G99" i="5"/>
  <c r="H99" i="5" s="1"/>
  <c r="F99" i="5"/>
  <c r="H163" i="5"/>
  <c r="F158" i="5"/>
  <c r="G158" i="5"/>
  <c r="H158" i="5" s="1"/>
  <c r="G20" i="5"/>
  <c r="H20" i="5" s="1"/>
  <c r="F20" i="5"/>
  <c r="F116" i="5"/>
  <c r="G116" i="5"/>
  <c r="H116" i="5" s="1"/>
  <c r="G193" i="5"/>
  <c r="H193" i="5" s="1"/>
  <c r="F193" i="5"/>
  <c r="F124" i="5"/>
  <c r="G124" i="5"/>
  <c r="H124" i="5" s="1"/>
  <c r="G191" i="5"/>
  <c r="H191" i="5" s="1"/>
  <c r="F191" i="5"/>
  <c r="G95" i="5"/>
  <c r="H95" i="5" s="1"/>
  <c r="F95" i="5"/>
  <c r="F154" i="5"/>
  <c r="G154" i="5"/>
  <c r="H154" i="5" s="1"/>
  <c r="F106" i="5"/>
  <c r="G106" i="5"/>
  <c r="H106" i="5" s="1"/>
  <c r="G89" i="5"/>
  <c r="H89" i="5" s="1"/>
  <c r="F89" i="5"/>
  <c r="G187" i="5"/>
  <c r="H187" i="5" s="1"/>
  <c r="F187" i="5"/>
  <c r="G139" i="5"/>
  <c r="H139" i="5" s="1"/>
  <c r="F139" i="5"/>
  <c r="F198" i="5"/>
  <c r="G198" i="5"/>
  <c r="H198" i="5" s="1"/>
  <c r="F150" i="5"/>
  <c r="G150" i="5"/>
  <c r="H150" i="5" s="1"/>
  <c r="F102" i="5"/>
  <c r="G102" i="5"/>
  <c r="H102" i="5" s="1"/>
  <c r="G8" i="5"/>
  <c r="H8" i="5" s="1"/>
  <c r="F8" i="5"/>
  <c r="B22" i="4"/>
  <c r="B24" i="4"/>
  <c r="B25" i="4" s="1"/>
  <c r="E56" i="4" s="1"/>
  <c r="E61" i="4"/>
  <c r="F76" i="5"/>
  <c r="G76" i="5"/>
  <c r="H76" i="5" s="1"/>
  <c r="G63" i="5"/>
  <c r="H63" i="5" s="1"/>
  <c r="F63" i="5"/>
  <c r="G121" i="5"/>
  <c r="H121" i="5" s="1"/>
  <c r="F121" i="5"/>
  <c r="F64" i="5"/>
  <c r="G64" i="5"/>
  <c r="H64" i="5" s="1"/>
  <c r="E59" i="4" l="1"/>
  <c r="E48" i="4"/>
  <c r="E64" i="4"/>
  <c r="E52" i="4"/>
  <c r="E57" i="4"/>
  <c r="E53" i="4"/>
  <c r="E65" i="4"/>
  <c r="E54" i="4"/>
  <c r="E62" i="4"/>
  <c r="E55" i="4"/>
  <c r="E66" i="4"/>
  <c r="E49" i="4"/>
  <c r="E60" i="4"/>
  <c r="E63" i="4"/>
  <c r="E67" i="4"/>
  <c r="E50" i="4"/>
  <c r="B42" i="1"/>
  <c r="D42" i="1" s="1"/>
  <c r="E42" i="1" s="1"/>
  <c r="B44" i="1"/>
  <c r="D44" i="1" s="1"/>
  <c r="E44" i="1" s="1"/>
  <c r="B39" i="1"/>
  <c r="D39" i="1" s="1"/>
  <c r="E39" i="1" s="1"/>
  <c r="B41" i="1"/>
  <c r="D41" i="1" s="1"/>
  <c r="E41" i="1" s="1"/>
  <c r="B38" i="1"/>
  <c r="D38" i="1" s="1"/>
  <c r="E38" i="1" s="1"/>
  <c r="N5" i="1"/>
  <c r="F27" i="1"/>
  <c r="B37" i="1"/>
  <c r="D37" i="1" s="1"/>
  <c r="E37" i="1" s="1"/>
  <c r="B45" i="1"/>
  <c r="D45" i="1" s="1"/>
  <c r="E45" i="1" s="1"/>
  <c r="B36" i="1"/>
  <c r="D36" i="1" s="1"/>
  <c r="E36" i="1" s="1"/>
  <c r="B40" i="1"/>
  <c r="D40" i="1" s="1"/>
  <c r="E40" i="1" s="1"/>
  <c r="B43" i="1"/>
  <c r="D43" i="1" s="1"/>
  <c r="E43" i="1" s="1"/>
  <c r="E58" i="4"/>
  <c r="B64" i="4"/>
  <c r="D62" i="4"/>
  <c r="B52" i="4"/>
  <c r="D50" i="4"/>
  <c r="B26" i="4"/>
  <c r="B62" i="4"/>
  <c r="D60" i="4"/>
  <c r="G60" i="4" s="1"/>
  <c r="B50" i="4"/>
  <c r="D48" i="4"/>
  <c r="G48" i="4" s="1"/>
  <c r="B67" i="4"/>
  <c r="D65" i="4"/>
  <c r="B55" i="4"/>
  <c r="D53" i="4"/>
  <c r="G53" i="4" s="1"/>
  <c r="D63" i="4"/>
  <c r="D59" i="4"/>
  <c r="G59" i="4" s="1"/>
  <c r="D57" i="4"/>
  <c r="G57" i="4" s="1"/>
  <c r="B61" i="4"/>
  <c r="D67" i="4"/>
  <c r="G67" i="4" s="1"/>
  <c r="B65" i="4"/>
  <c r="B63" i="4"/>
  <c r="B59" i="4"/>
  <c r="B57" i="4"/>
  <c r="D66" i="4"/>
  <c r="B58" i="4"/>
  <c r="B53" i="4"/>
  <c r="B66" i="4"/>
  <c r="D55" i="4"/>
  <c r="D52" i="4"/>
  <c r="B60" i="4"/>
  <c r="D49" i="4"/>
  <c r="B49" i="4"/>
  <c r="D54" i="4"/>
  <c r="D51" i="4"/>
  <c r="D56" i="4"/>
  <c r="G56" i="4" s="1"/>
  <c r="B54" i="4"/>
  <c r="B51" i="4"/>
  <c r="B48" i="4"/>
  <c r="D61" i="4"/>
  <c r="G61" i="4" s="1"/>
  <c r="D58" i="4"/>
  <c r="D64" i="4"/>
  <c r="B56" i="4"/>
  <c r="B31" i="4"/>
  <c r="E51" i="4"/>
  <c r="G52" i="4" l="1"/>
  <c r="G50" i="4"/>
  <c r="H50" i="4" s="1"/>
  <c r="G58" i="4"/>
  <c r="H58" i="4" s="1"/>
  <c r="G63" i="4"/>
  <c r="H63" i="4" s="1"/>
  <c r="G64" i="4"/>
  <c r="N8" i="1"/>
  <c r="F28" i="1"/>
  <c r="F29" i="1" s="1"/>
  <c r="N3" i="1" s="1"/>
  <c r="K8" i="1"/>
  <c r="F30" i="1"/>
  <c r="F31" i="1"/>
  <c r="N4" i="1"/>
  <c r="G62" i="4"/>
  <c r="H62" i="4" s="1"/>
  <c r="H56" i="4"/>
  <c r="H61" i="4"/>
  <c r="H52" i="4"/>
  <c r="H60" i="4"/>
  <c r="H64" i="4"/>
  <c r="M22" i="4"/>
  <c r="O26" i="4"/>
  <c r="M26" i="4"/>
  <c r="H57" i="4"/>
  <c r="H59" i="4"/>
  <c r="H48" i="4"/>
  <c r="H67" i="4"/>
  <c r="N26" i="4"/>
  <c r="Q22" i="4"/>
  <c r="N22" i="4"/>
  <c r="H53" i="4"/>
  <c r="M20" i="4"/>
  <c r="L20" i="4"/>
  <c r="P26" i="4"/>
  <c r="Q26" i="4"/>
  <c r="P20" i="4"/>
  <c r="L22" i="4"/>
  <c r="N20" i="4"/>
  <c r="L26" i="4"/>
  <c r="Q20" i="4"/>
  <c r="O22" i="4"/>
  <c r="P22" i="4"/>
  <c r="O20" i="4"/>
  <c r="M17" i="4"/>
  <c r="O25" i="4"/>
  <c r="P23" i="4"/>
  <c r="N21" i="4"/>
  <c r="L17" i="4"/>
  <c r="L25" i="4"/>
  <c r="Q23" i="4"/>
  <c r="L21" i="4"/>
  <c r="O24" i="4"/>
  <c r="Q17" i="4"/>
  <c r="M25" i="4"/>
  <c r="O23" i="4"/>
  <c r="O21" i="4"/>
  <c r="N18" i="4"/>
  <c r="M18" i="4"/>
  <c r="P25" i="4"/>
  <c r="P17" i="4"/>
  <c r="N25" i="4"/>
  <c r="N23" i="4"/>
  <c r="M21" i="4"/>
  <c r="Q25" i="4"/>
  <c r="P19" i="4"/>
  <c r="Q19" i="4"/>
  <c r="O17" i="4"/>
  <c r="Q21" i="4"/>
  <c r="N17" i="4"/>
  <c r="P21" i="4"/>
  <c r="N24" i="4"/>
  <c r="O19" i="4"/>
  <c r="L18" i="4"/>
  <c r="L24" i="4"/>
  <c r="M19" i="4"/>
  <c r="Q18" i="4"/>
  <c r="O18" i="4"/>
  <c r="N19" i="4"/>
  <c r="M23" i="4"/>
  <c r="M24" i="4"/>
  <c r="L23" i="4"/>
  <c r="Q24" i="4"/>
  <c r="L19" i="4"/>
  <c r="P18" i="4"/>
  <c r="P24" i="4"/>
  <c r="G65" i="4"/>
  <c r="H65" i="4" s="1"/>
  <c r="G66" i="4"/>
  <c r="H66" i="4" s="1"/>
  <c r="G55" i="4"/>
  <c r="H55" i="4" s="1"/>
  <c r="G49" i="4"/>
  <c r="H49" i="4" s="1"/>
  <c r="G51" i="4"/>
  <c r="H51" i="4" s="1"/>
  <c r="G54" i="4"/>
  <c r="H54" i="4" s="1"/>
  <c r="B27" i="4" l="1"/>
  <c r="B28" i="4" s="1"/>
  <c r="B29" i="4" l="1"/>
  <c r="B30" i="4"/>
  <c r="B38" i="4"/>
  <c r="G4" i="2" l="1"/>
  <c r="E4" i="2"/>
  <c r="D4" i="2"/>
  <c r="H4" i="2"/>
  <c r="C4" i="2"/>
  <c r="B4" i="2"/>
  <c r="B33" i="4"/>
  <c r="B34" i="4" s="1"/>
  <c r="B35" i="4" s="1"/>
  <c r="F4" i="2"/>
  <c r="B36" i="4"/>
  <c r="B37" i="4" s="1"/>
</calcChain>
</file>

<file path=xl/sharedStrings.xml><?xml version="1.0" encoding="utf-8"?>
<sst xmlns="http://schemas.openxmlformats.org/spreadsheetml/2006/main" count="289" uniqueCount="213">
  <si>
    <t>Parametric Basic Loss Calculator for SPB / Modular Three-Phase Inverter</t>
  </si>
  <si>
    <t>Quick Summary</t>
  </si>
  <si>
    <t>Enter only the yellow cells. Output cells update by formula. Energy inputs are assumed in mJ per switching event at the reference voltage/current.</t>
  </si>
  <si>
    <t>Module Vdc</t>
  </si>
  <si>
    <t>V</t>
  </si>
  <si>
    <t>Efficiency</t>
  </si>
  <si>
    <t>System inputs</t>
  </si>
  <si>
    <t>Device V rating</t>
  </si>
  <si>
    <t>Total loss</t>
  </si>
  <si>
    <t>Total DC-link voltage</t>
  </si>
  <si>
    <t>Total battery/DC-link voltage applied to series SPB stack</t>
  </si>
  <si>
    <t>Phase current</t>
  </si>
  <si>
    <t>Arms</t>
  </si>
  <si>
    <t>Cond. loss</t>
  </si>
  <si>
    <t>Number of series SPB modules</t>
  </si>
  <si>
    <t>-</t>
  </si>
  <si>
    <t>Number of cascaded three-phase bridge submodules</t>
  </si>
  <si>
    <t>Switches</t>
  </si>
  <si>
    <t>Sw. loss</t>
  </si>
  <si>
    <t>Output power</t>
  </si>
  <si>
    <t>kW</t>
  </si>
  <si>
    <t>Mechanical/electrical output power used for inverter efficiency calculation</t>
  </si>
  <si>
    <t>Input DC current</t>
  </si>
  <si>
    <t>A</t>
  </si>
  <si>
    <t>Module power</t>
  </si>
  <si>
    <t>Power factor</t>
  </si>
  <si>
    <t>Used to estimate phase current from P = √3·VLL,rms·I·pf</t>
  </si>
  <si>
    <t>Loss / module</t>
  </si>
  <si>
    <t>W</t>
  </si>
  <si>
    <t>Loss / switch avg.</t>
  </si>
  <si>
    <t>Modulation index</t>
  </si>
  <si>
    <t>Sinusoidal PWM fundamental modulation index; 1.154 possible with zero-sequence extension</t>
  </si>
  <si>
    <t>Device voltage margin</t>
  </si>
  <si>
    <t>pu</t>
  </si>
  <si>
    <t>Suggested device blocking rating = Vmodule × margin</t>
  </si>
  <si>
    <t>Device current margin</t>
  </si>
  <si>
    <t>Suggested current rating = Irms × margin</t>
  </si>
  <si>
    <t>Device / switching inputs</t>
  </si>
  <si>
    <t>Eon per switch @ reference</t>
  </si>
  <si>
    <t>mJ</t>
  </si>
  <si>
    <t>Turn-on energy of one device at Vref/Iref</t>
  </si>
  <si>
    <t>Eoff per switch @ reference</t>
  </si>
  <si>
    <t>Turn-off energy of one device at Vref/Iref</t>
  </si>
  <si>
    <t>Rds(on) per switch</t>
  </si>
  <si>
    <t>mΩ</t>
  </si>
  <si>
    <t>On-state resistance of one switch at selected temperature</t>
  </si>
  <si>
    <t>Switching frequency</t>
  </si>
  <si>
    <t>kHz</t>
  </si>
  <si>
    <t>PWM switching frequency per submodule</t>
  </si>
  <si>
    <t>Reference voltage for Eon/Eoff</t>
  </si>
  <si>
    <t>Datasheet/test voltage for switching energy</t>
  </si>
  <si>
    <t>Reference current for Eon/Eoff</t>
  </si>
  <si>
    <t>Datasheet/test current for switching energy</t>
  </si>
  <si>
    <t>Energy voltage exponent</t>
  </si>
  <si>
    <t>Use 1 for linear voltage scaling</t>
  </si>
  <si>
    <t>Energy current exponent</t>
  </si>
  <si>
    <t>Use 1 for linear current scaling</t>
  </si>
  <si>
    <t>Additional fixed losses</t>
  </si>
  <si>
    <t>Optional control/gate-drive/cooling/auxiliary losses</t>
  </si>
  <si>
    <t>Calculated ratings</t>
  </si>
  <si>
    <t>Loss results</t>
  </si>
  <si>
    <t>DC voltage per SPB module</t>
  </si>
  <si>
    <t>Conduction loss total</t>
  </si>
  <si>
    <t>Fundamental VLL,rms per module</t>
  </si>
  <si>
    <t>Switching energy scaled</t>
  </si>
  <si>
    <t>mJ/event</t>
  </si>
  <si>
    <t>Estimated AC phase current per module</t>
  </si>
  <si>
    <t>Switching loss total</t>
  </si>
  <si>
    <t>DC input current, ideal</t>
  </si>
  <si>
    <t>Total inverter loss</t>
  </si>
  <si>
    <t>Suggested device blocking rating</t>
  </si>
  <si>
    <t>Input power including losses</t>
  </si>
  <si>
    <t>Suggested device current rating</t>
  </si>
  <si>
    <t>%</t>
  </si>
  <si>
    <t>Total number of switches</t>
  </si>
  <si>
    <t>Loss share: conduction</t>
  </si>
  <si>
    <t>Module output power</t>
  </si>
  <si>
    <t>Loss share: switching</t>
  </si>
  <si>
    <t>Switching frequency sweep</t>
  </si>
  <si>
    <t>fsw (kHz)</t>
  </si>
  <si>
    <t>Conduction loss (W)</t>
  </si>
  <si>
    <t>Switching loss (W)</t>
  </si>
  <si>
    <t>Total loss (W)</t>
  </si>
  <si>
    <t>Efficiency (%)</t>
  </si>
  <si>
    <t>Assumptions and formula notes</t>
  </si>
  <si>
    <t>1. The workbook is a first-order loss estimator, not a substitute for datasheet- and waveform-based detailed loss simulation.</t>
  </si>
  <si>
    <t>2. SPB module voltage is calculated as total DC-link voltage divided by the number of series SPB modules.</t>
  </si>
  <si>
    <t>3. Fundamental module line-line RMS voltage is approximated as 0.612·m·Vdc,module for a two-level three-phase bridge.</t>
  </si>
  <si>
    <t>4. Phase current is estimated from Pmodule = √3·VLL,rms,module·Iphase,rms·power factor.</t>
  </si>
  <si>
    <t>5. Conduction loss is approximated as N·3·Irms²·Rds(on), assuming MOSFET conduction and sinusoidal current.</t>
  </si>
  <si>
    <t>6. Switching loss is approximated as 6·N·(Eon+Eoff scaled)·fsw. Eon/Eoff are per switch and entered in mJ.</t>
  </si>
  <si>
    <t>7. Switching energy scaling uses (Vmodule/Vref)^aV·(Irms/Iref)^aI. Keep both exponents at 1 for linear scaling.</t>
  </si>
  <si>
    <t>8. The calculator ignores diode reverse recovery, dead-time conduction, temperature dependence of Rds(on), gate-drive losses unless entered as fixed losses, capacitor losses, machine losses, and thermal derating.</t>
  </si>
  <si>
    <t>9. Literature context: SPB is based on dc-side cascading of conventional two-level three-phase inverter bridges, enabling low-voltage devices and modularity; the uploaded literature survey contains notes on this SPB concept and loss-analysis papers.</t>
  </si>
  <si>
    <t>10. Source note: user-provided literature survey PowerPoint: /mnt/data/immd_literature2020.pptx</t>
  </si>
  <si>
    <t>Basic Sensitivity: Efficiency vs Switching Frequency</t>
  </si>
  <si>
    <t>Updated workbook adds 'Device Selection' and 'Selection Sweep' sheets for automatic SPB series/parallel device selection from datasheet voltage, current, switching-loss, Rds(on), and thermal parameters.</t>
  </si>
  <si>
    <t>SPB Device Selection and Loss Calculator</t>
  </si>
  <si>
    <t>System / SPB targets</t>
  </si>
  <si>
    <t>Device datasheet inputs</t>
  </si>
  <si>
    <t>Model assumptions</t>
  </si>
  <si>
    <t>DC-link voltage, Vdc</t>
  </si>
  <si>
    <t>Total input DC voltage.</t>
  </si>
  <si>
    <t>Device blocking voltage rating</t>
  </si>
  <si>
    <t>VDS/VCE rating from datasheet.</t>
  </si>
  <si>
    <t>1) Each SPB submodule is modeled as a conventional two-level three-phase bridge with six switch positions.</t>
  </si>
  <si>
    <t>Output power, Pout</t>
  </si>
  <si>
    <t>Mechanical/electrical output power used for inverter efficiency.</t>
  </si>
  <si>
    <t>Device continuous current rating</t>
  </si>
  <si>
    <t>Use comparable cooling condition from datasheet.</t>
  </si>
  <si>
    <t>2) Voltage sharing is assumed ideal: Vmodule = Vdc/Ns.</t>
  </si>
  <si>
    <t>Used to estimate phase RMS current.</t>
  </si>
  <si>
    <t>Rds(on)</t>
  </si>
  <si>
    <t>MOSFET on-state resistance at selected temperature.</t>
  </si>
  <si>
    <t>3) Power sharing among series SPB modules is assumed equal: Pmodule = Pout/Ns.</t>
  </si>
  <si>
    <t>Approx. VLL,rms = m · Vmodule / √2.</t>
  </si>
  <si>
    <t>Eon</t>
  </si>
  <si>
    <t>Turn-on energy at reference V/I.</t>
  </si>
  <si>
    <t>4) Phase RMS current is estimated from Pmodule, module VLL,rms, and power factor.</t>
  </si>
  <si>
    <t>Voltage design margin</t>
  </si>
  <si>
    <t>Required device voltage rating margin above module DC voltage.</t>
  </si>
  <si>
    <t>Eoff</t>
  </si>
  <si>
    <t>Turn-off energy at reference V/I.</t>
  </si>
  <si>
    <t>5) Conduction loss approximation: Pcond,total = Ns · 3 · Iphase,rms² · Rds(on)/Np.</t>
  </si>
  <si>
    <t>Current design margin</t>
  </si>
  <si>
    <t>Required current margin above estimated phase RMS current.</t>
  </si>
  <si>
    <t>Datasheet test voltage, Vref</t>
  </si>
  <si>
    <t>Reference voltage for switching-energy scaling.</t>
  </si>
  <si>
    <t>6) Switching energy is linearly scaled with voltage and current from datasheet Eon/Eoff reference values.</t>
  </si>
  <si>
    <t>Ambient / coolant temperature</t>
  </si>
  <si>
    <t>°C</t>
  </si>
  <si>
    <t>Thermal reference temperature.</t>
  </si>
  <si>
    <t>Datasheet test current, Iref</t>
  </si>
  <si>
    <t>Reference current for switching-energy scaling.</t>
  </si>
  <si>
    <t>7) Total switching loss is nearly independent of Np under linear current scaling, but per-device thermal stress decreases with Np.</t>
  </si>
  <si>
    <t>Maximum junction temperature</t>
  </si>
  <si>
    <t>Thermal limit for selected device.</t>
  </si>
  <si>
    <t>Per-device switching frequency.</t>
  </si>
  <si>
    <t>8) Thermal model includes a shared sink-to-ambient path per SPB module and per-device junction/case/TIM path.</t>
  </si>
  <si>
    <t>Override series count</t>
  </si>
  <si>
    <t>0 = automatic. Otherwise force Ns.</t>
  </si>
  <si>
    <t>Rth junction-to-case</t>
  </si>
  <si>
    <t>°C/W</t>
  </si>
  <si>
    <t>Thermal resistance per physical die/module.</t>
  </si>
  <si>
    <t>9) Replace formulas if your datasheet uses nonlinear Eon/Eoff curves or temperature-dependent Rds(on).</t>
  </si>
  <si>
    <t>Override parallel count</t>
  </si>
  <si>
    <t>0 = automatic. Otherwise force Np.</t>
  </si>
  <si>
    <t>Rth case-to-sink/TIM</t>
  </si>
  <si>
    <t>Thermal interface per physical die/module.</t>
  </si>
  <si>
    <t>Max parallel devices searched</t>
  </si>
  <si>
    <t>Used in the candidate table below.</t>
  </si>
  <si>
    <t>Rth sink-to-ambient per SPB module</t>
  </si>
  <si>
    <t>Shared cooling path per SPB submodule.</t>
  </si>
  <si>
    <t>Fixed auxiliary loss per SPB module</t>
  </si>
  <si>
    <t>Gate drivers, control, capacitor ESR etc. Optional.</t>
  </si>
  <si>
    <t>Efficiency sweep vs. series modules and parallel devices</t>
  </si>
  <si>
    <t>Ns \ Np</t>
  </si>
  <si>
    <t>Main outputs</t>
  </si>
  <si>
    <t>Value</t>
  </si>
  <si>
    <t>Unit</t>
  </si>
  <si>
    <t>Formula / note</t>
  </si>
  <si>
    <t>Required series modules by voltage</t>
  </si>
  <si>
    <t>CEILING(Vdc·(1+margin)/Vrating)</t>
  </si>
  <si>
    <t>Selected series modules, Ns</t>
  </si>
  <si>
    <t>Auto or override</t>
  </si>
  <si>
    <t>Module DC voltage</t>
  </si>
  <si>
    <t>Vdc / Ns</t>
  </si>
  <si>
    <t>Suggested device voltage rating</t>
  </si>
  <si>
    <t>Vmodule·(1+margin)</t>
  </si>
  <si>
    <t>Approx. total VLL,rms</t>
  </si>
  <si>
    <t>m·Vdc/√2</t>
  </si>
  <si>
    <t>Approx. module VLL,rms</t>
  </si>
  <si>
    <t>m·Vmodule/√2</t>
  </si>
  <si>
    <t>Estimated module phase current</t>
  </si>
  <si>
    <t>Pmodule/(√3·VLL,module·PF)</t>
  </si>
  <si>
    <t>Required parallel devices by current</t>
  </si>
  <si>
    <t>CEILING(Iphase·(1+margin)/Irating)</t>
  </si>
  <si>
    <t>Required parallel devices by current+thermal</t>
  </si>
  <si>
    <t>Smallest Np satisfying candidate table</t>
  </si>
  <si>
    <t>Selected parallel devices, Np</t>
  </si>
  <si>
    <t>Effective Rds per switch position</t>
  </si>
  <si>
    <t>Rds/Np</t>
  </si>
  <si>
    <t>Total conduction loss</t>
  </si>
  <si>
    <t>Ns·3·I²·Rds/Np</t>
  </si>
  <si>
    <t>Total switching loss</t>
  </si>
  <si>
    <t>Ns·6·Esw_scaled·fsw</t>
  </si>
  <si>
    <t>Total auxiliary loss</t>
  </si>
  <si>
    <t>Ns·fixed auxiliary loss</t>
  </si>
  <si>
    <t>Sum of conduction, switching, auxiliary</t>
  </si>
  <si>
    <t>Input power</t>
  </si>
  <si>
    <t>Pout + losses</t>
  </si>
  <si>
    <t>Pout/(Pout+losses)</t>
  </si>
  <si>
    <t>Estimated junction temperature</t>
  </si>
  <si>
    <t>Worst physical device in selected module</t>
  </si>
  <si>
    <t>Thermal status</t>
  </si>
  <si>
    <t>OK if Tj &lt;= limit</t>
  </si>
  <si>
    <t>Current rating status</t>
  </si>
  <si>
    <t>OK if current per parallel device incl. margin &lt;= rating</t>
  </si>
  <si>
    <t>Np candidate</t>
  </si>
  <si>
    <t>Device current</t>
  </si>
  <si>
    <t>Rds_eff</t>
  </si>
  <si>
    <t>Pcond/module</t>
  </si>
  <si>
    <t>Psw/module</t>
  </si>
  <si>
    <t>Aux/module</t>
  </si>
  <si>
    <t>Tj estimate</t>
  </si>
  <si>
    <t>OK?</t>
  </si>
  <si>
    <t>SPB Selection Sweep</t>
  </si>
  <si>
    <t>Ns</t>
  </si>
  <si>
    <t>Np</t>
  </si>
  <si>
    <t>Vmodule (V)</t>
  </si>
  <si>
    <t>Iphase (Arms)</t>
  </si>
  <si>
    <t>Tj (°C)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</si>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</sst>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  <font>
      <b/>
      <sz val="15"/>
      <color rgb="FFFFFFF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8FC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70AD4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2" borderId="0" xfId="0" applyFont="1" applyFill="1"/>
    <xf numFmtId="0" fontId="3" fillId="2" borderId="0" xfId="0" applyFont="1" applyFill="1" applyAlignment="1">
      <alignment wrapText="1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4" borderId="4" xfId="0" applyFont="1" applyFill="1" applyBorder="1"/>
    <xf numFmtId="1" fontId="0" fillId="5" borderId="5" xfId="0" applyNumberFormat="1" applyFill="1" applyBorder="1"/>
    <xf numFmtId="0" fontId="0" fillId="0" borderId="5" xfId="0" applyBorder="1"/>
    <xf numFmtId="0" fontId="0" fillId="0" borderId="6" xfId="0" applyBorder="1" applyAlignment="1">
      <alignment wrapText="1"/>
    </xf>
    <xf numFmtId="164" fontId="0" fillId="5" borderId="5" xfId="0" applyNumberFormat="1" applyFill="1" applyBorder="1"/>
    <xf numFmtId="2" fontId="0" fillId="5" borderId="5" xfId="0" applyNumberFormat="1" applyFill="1" applyBorder="1"/>
    <xf numFmtId="0" fontId="4" fillId="4" borderId="4" xfId="0" applyFont="1" applyFill="1" applyBorder="1"/>
    <xf numFmtId="165" fontId="4" fillId="5" borderId="5" xfId="0" applyNumberFormat="1" applyFont="1" applyFill="1" applyBorder="1"/>
    <xf numFmtId="0" fontId="4" fillId="2" borderId="5" xfId="0" applyFont="1" applyFill="1" applyBorder="1"/>
    <xf numFmtId="0" fontId="4" fillId="2" borderId="6" xfId="0" applyFont="1" applyFill="1" applyBorder="1" applyAlignment="1">
      <alignment wrapText="1"/>
    </xf>
    <xf numFmtId="165" fontId="0" fillId="5" borderId="5" xfId="0" applyNumberFormat="1" applyFill="1" applyBorder="1"/>
    <xf numFmtId="0" fontId="0" fillId="5" borderId="5" xfId="0" applyFill="1" applyBorder="1"/>
    <xf numFmtId="0" fontId="5" fillId="4" borderId="7" xfId="0" applyFont="1" applyFill="1" applyBorder="1"/>
    <xf numFmtId="164" fontId="0" fillId="5" borderId="8" xfId="0" applyNumberFormat="1" applyFill="1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4" xfId="0" applyBorder="1"/>
    <xf numFmtId="2" fontId="0" fillId="6" borderId="5" xfId="0" applyNumberFormat="1" applyFill="1" applyBorder="1"/>
    <xf numFmtId="0" fontId="0" fillId="0" borderId="6" xfId="0" applyBorder="1"/>
    <xf numFmtId="0" fontId="0" fillId="0" borderId="7" xfId="0" applyBorder="1"/>
    <xf numFmtId="2" fontId="0" fillId="6" borderId="8" xfId="0" applyNumberFormat="1" applyFill="1" applyBorder="1"/>
    <xf numFmtId="0" fontId="0" fillId="0" borderId="9" xfId="0" applyBorder="1"/>
    <xf numFmtId="0" fontId="0" fillId="0" borderId="1" xfId="0" applyBorder="1"/>
    <xf numFmtId="2" fontId="0" fillId="6" borderId="2" xfId="0" applyNumberFormat="1" applyFill="1" applyBorder="1"/>
    <xf numFmtId="0" fontId="0" fillId="0" borderId="2" xfId="0" applyBorder="1"/>
    <xf numFmtId="2" fontId="0" fillId="6" borderId="3" xfId="0" applyNumberFormat="1" applyFill="1" applyBorder="1"/>
    <xf numFmtId="2" fontId="0" fillId="6" borderId="6" xfId="0" applyNumberFormat="1" applyFill="1" applyBorder="1"/>
    <xf numFmtId="2" fontId="0" fillId="6" borderId="9" xfId="0" applyNumberFormat="1" applyFill="1" applyBorder="1"/>
    <xf numFmtId="2" fontId="0" fillId="0" borderId="5" xfId="0" applyNumberFormat="1" applyBorder="1"/>
    <xf numFmtId="2" fontId="0" fillId="0" borderId="6" xfId="0" applyNumberFormat="1" applyBorder="1"/>
    <xf numFmtId="1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11" borderId="0" xfId="0" applyFont="1" applyFill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vertical="center"/>
    </xf>
    <xf numFmtId="2" fontId="5" fillId="9" borderId="0" xfId="0" applyNumberFormat="1" applyFont="1" applyFill="1" applyAlignment="1">
      <alignment horizontal="right" vertic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/>
    </xf>
    <xf numFmtId="2" fontId="5" fillId="10" borderId="0" xfId="0" applyNumberFormat="1" applyFont="1" applyFill="1" applyAlignment="1">
      <alignment horizontal="right" vertical="center"/>
    </xf>
    <xf numFmtId="10" fontId="5" fillId="10" borderId="0" xfId="0" applyNumberFormat="1" applyFont="1" applyFill="1" applyAlignment="1">
      <alignment horizontal="right" vertical="center"/>
    </xf>
    <xf numFmtId="49" fontId="5" fillId="10" borderId="0" xfId="0" applyNumberFormat="1" applyFont="1" applyFill="1" applyAlignment="1">
      <alignment horizontal="right" vertical="center"/>
    </xf>
    <xf numFmtId="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49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8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sv-SE"/>
              <a:t>Loss and Efficiency vs Switching Frequency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Conduction loss (W)</c:v>
          </c:tx>
          <c:cat>
            <c:numRef>
              <c:f>'SPB Loss Calculator'!$A$36:$A$45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</c:numCache>
            </c:numRef>
          </c:cat>
          <c:val>
            <c:numRef>
              <c:f>'SPB Loss Calculator'!$B$36:$B$45</c:f>
              <c:numCache>
                <c:formatCode>0.00</c:formatCode>
                <c:ptCount val="10"/>
                <c:pt idx="0">
                  <c:v>147.73776546426811</c:v>
                </c:pt>
                <c:pt idx="1">
                  <c:v>147.73776546426811</c:v>
                </c:pt>
                <c:pt idx="2">
                  <c:v>147.73776546426811</c:v>
                </c:pt>
                <c:pt idx="3">
                  <c:v>147.73776546426811</c:v>
                </c:pt>
                <c:pt idx="4">
                  <c:v>147.73776546426811</c:v>
                </c:pt>
                <c:pt idx="5">
                  <c:v>147.73776546426811</c:v>
                </c:pt>
                <c:pt idx="6">
                  <c:v>147.73776546426811</c:v>
                </c:pt>
                <c:pt idx="7">
                  <c:v>147.73776546426811</c:v>
                </c:pt>
                <c:pt idx="8">
                  <c:v>147.73776546426811</c:v>
                </c:pt>
                <c:pt idx="9">
                  <c:v>147.73776546426811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1-4BF1-A484-8A5BE6C42E4D}"/>
            </c:ext>
          </c:extLst>
        </c:ser>
        <c:ser>
          <c:idx val="1"/>
          <c:order val="1"/>
          <c:tx>
            <c:v>Switching loss (W)</c:v>
          </c:tx>
          <c:cat>
            <c:numRef>
              <c:f>'SPB Loss Calculator'!$A$36:$A$45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</c:numCache>
            </c:numRef>
          </c:cat>
          <c:val>
            <c:numRef>
              <c:f>'SPB Loss Calculator'!$C$36:$C$45</c:f>
              <c:numCache>
                <c:formatCode>0.00</c:formatCode>
                <c:ptCount val="10"/>
                <c:pt idx="0">
                  <c:v>267.9562539214831</c:v>
                </c:pt>
                <c:pt idx="1">
                  <c:v>535.91250784296619</c:v>
                </c:pt>
                <c:pt idx="2">
                  <c:v>803.86876176444935</c:v>
                </c:pt>
                <c:pt idx="3">
                  <c:v>1071.8250156859324</c:v>
                </c:pt>
                <c:pt idx="4">
                  <c:v>1339.7812696074154</c:v>
                </c:pt>
                <c:pt idx="5">
                  <c:v>1607.7375235288987</c:v>
                </c:pt>
                <c:pt idx="6">
                  <c:v>1875.6937774503817</c:v>
                </c:pt>
                <c:pt idx="7">
                  <c:v>2143.6500313718648</c:v>
                </c:pt>
                <c:pt idx="8">
                  <c:v>2411.6062852933478</c:v>
                </c:pt>
                <c:pt idx="9">
                  <c:v>2679.5625392148308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51-4BF1-A484-8A5BE6C42E4D}"/>
            </c:ext>
          </c:extLst>
        </c:ser>
        <c:ser>
          <c:idx val="2"/>
          <c:order val="2"/>
          <c:tx>
            <c:v>Total loss (W)</c:v>
          </c:tx>
          <c:cat>
            <c:numRef>
              <c:f>'SPB Loss Calculator'!$A$36:$A$45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</c:numCache>
            </c:numRef>
          </c:cat>
          <c:val>
            <c:numRef>
              <c:f>'SPB Loss Calculator'!$D$36:$D$45</c:f>
              <c:numCache>
                <c:formatCode>0.00</c:formatCode>
                <c:ptCount val="10"/>
                <c:pt idx="0">
                  <c:v>415.69401938575118</c:v>
                </c:pt>
                <c:pt idx="1">
                  <c:v>683.65027330723433</c:v>
                </c:pt>
                <c:pt idx="2">
                  <c:v>951.60652722871748</c:v>
                </c:pt>
                <c:pt idx="3">
                  <c:v>1219.5627811502004</c:v>
                </c:pt>
                <c:pt idx="4">
                  <c:v>1487.5190350716834</c:v>
                </c:pt>
                <c:pt idx="5">
                  <c:v>1755.4752889931667</c:v>
                </c:pt>
                <c:pt idx="6">
                  <c:v>2023.4315429146498</c:v>
                </c:pt>
                <c:pt idx="7">
                  <c:v>2291.387796836133</c:v>
                </c:pt>
                <c:pt idx="8">
                  <c:v>2559.3440507576161</c:v>
                </c:pt>
                <c:pt idx="9">
                  <c:v>2827.3003046790991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51-4BF1-A484-8A5BE6C42E4D}"/>
            </c:ext>
          </c:extLst>
        </c:ser>
        <c:ser>
          <c:idx val="3"/>
          <c:order val="3"/>
          <c:tx>
            <c:v>Efficiency (%)</c:v>
          </c:tx>
          <c:cat>
            <c:numRef>
              <c:f>'SPB Loss Calculator'!$A$36:$A$45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</c:numCache>
            </c:numRef>
          </c:cat>
          <c:val>
            <c:numRef>
              <c:f>'SPB Loss Calculator'!$E$36:$E$45</c:f>
              <c:numCache>
                <c:formatCode>0.00</c:formatCode>
                <c:ptCount val="10"/>
                <c:pt idx="0">
                  <c:v>99.86162706287945</c:v>
                </c:pt>
                <c:pt idx="1">
                  <c:v>99.77263470338815</c:v>
                </c:pt>
                <c:pt idx="2">
                  <c:v>99.683800814951752</c:v>
                </c:pt>
                <c:pt idx="3">
                  <c:v>99.595124974656343</c:v>
                </c:pt>
                <c:pt idx="4">
                  <c:v>99.506606761091618</c:v>
                </c:pt>
                <c:pt idx="5">
                  <c:v>99.418245754343999</c:v>
                </c:pt>
                <c:pt idx="6">
                  <c:v>99.33004153599019</c:v>
                </c:pt>
                <c:pt idx="7">
                  <c:v>99.241993689090421</c:v>
                </c:pt>
                <c:pt idx="8">
                  <c:v>99.15410179818204</c:v>
                </c:pt>
                <c:pt idx="9">
                  <c:v>99.066365449272737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51-4BF1-A484-8A5BE6C4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allelCandidateTable" displayName="ParallelCandidateTable" ref="A47:H67">
  <tableColumns count="8">
    <tableColumn id="1" xr3:uid="{00000000-0010-0000-0000-000001000000}" name="Np candidate"/>
    <tableColumn id="2" xr3:uid="{00000000-0010-0000-0000-000002000000}" name="Device current"/>
    <tableColumn id="3" xr3:uid="{00000000-0010-0000-0000-000003000000}" name="Rds_eff"/>
    <tableColumn id="4" xr3:uid="{00000000-0010-0000-0000-000004000000}" name="Pcond/module"/>
    <tableColumn id="5" xr3:uid="{00000000-0010-0000-0000-000005000000}" name="Psw/module"/>
    <tableColumn id="6" xr3:uid="{00000000-0010-0000-0000-000006000000}" name="Aux/module"/>
    <tableColumn id="7" xr3:uid="{00000000-0010-0000-0000-000007000000}" name="Tj estimate"/>
    <tableColumn id="8" xr3:uid="{00000000-0010-0000-0000-000008000000}" name="OK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lectionSweepTable" displayName="SelectionSweepTable" ref="A3:H203">
  <tableColumns count="8">
    <tableColumn id="1" xr3:uid="{00000000-0010-0000-0100-000001000000}" name="Ns"/>
    <tableColumn id="2" xr3:uid="{00000000-0010-0000-0100-000002000000}" name="Np"/>
    <tableColumn id="3" xr3:uid="{00000000-0010-0000-0100-000003000000}" name="Vmodule (V)"/>
    <tableColumn id="4" xr3:uid="{00000000-0010-0000-0100-000004000000}" name="Iphase (Arms)"/>
    <tableColumn id="5" xr3:uid="{00000000-0010-0000-0100-000005000000}" name="Total loss (W)"/>
    <tableColumn id="6" xr3:uid="{00000000-0010-0000-0100-000006000000}" name="Efficiency"/>
    <tableColumn id="7" xr3:uid="{00000000-0010-0000-0100-000007000000}" name="Tj (°C)"/>
    <tableColumn id="8" xr3:uid="{00000000-0010-0000-01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workbookViewId="0">
      <selection sqref="A1:H1"/>
    </sheetView>
  </sheetViews>
  <sheetFormatPr defaultRowHeight="14.25"/>
  <cols>
    <col min="1" max="1" width="34.25" customWidth="1"/>
    <col min="2" max="2" width="18.875" customWidth="1"/>
    <col min="3" max="3" width="10" customWidth="1"/>
    <col min="4" max="4" width="48" customWidth="1"/>
    <col min="5" max="5" width="26" customWidth="1"/>
    <col min="6" max="6" width="9.375" customWidth="1"/>
    <col min="7" max="7" width="12" customWidth="1"/>
    <col min="10" max="14" width="15" customWidth="1"/>
  </cols>
  <sheetData>
    <row r="1" spans="1:14" ht="18">
      <c r="A1" s="56" t="s">
        <v>0</v>
      </c>
      <c r="B1" s="57"/>
      <c r="C1" s="57"/>
      <c r="D1" s="57"/>
      <c r="E1" s="57"/>
      <c r="F1" s="57"/>
      <c r="G1" s="57"/>
      <c r="H1" s="57"/>
      <c r="J1" s="59" t="s">
        <v>1</v>
      </c>
      <c r="K1" s="57"/>
      <c r="L1" s="57"/>
      <c r="M1" s="57"/>
      <c r="N1" s="57"/>
    </row>
    <row r="2" spans="1:14">
      <c r="A2" s="58" t="s">
        <v>2</v>
      </c>
      <c r="B2" s="57"/>
      <c r="C2" s="57"/>
      <c r="D2" s="57"/>
      <c r="E2" s="57"/>
      <c r="F2" s="57"/>
      <c r="G2" s="57"/>
      <c r="H2" s="57"/>
    </row>
    <row r="3" spans="1:14">
      <c r="J3" s="28" t="s">
        <v>3</v>
      </c>
      <c r="K3" s="29">
        <f>B24</f>
        <v>150</v>
      </c>
      <c r="L3" s="30" t="s">
        <v>4</v>
      </c>
      <c r="M3" s="30" t="s">
        <v>5</v>
      </c>
      <c r="N3" s="31">
        <f>F29</f>
        <v>99.066365449272737</v>
      </c>
    </row>
    <row r="4" spans="1:14" ht="15">
      <c r="A4" s="3" t="s">
        <v>6</v>
      </c>
      <c r="B4" s="4"/>
      <c r="C4" s="4"/>
      <c r="D4" s="5"/>
      <c r="E4" s="1"/>
      <c r="F4" s="1"/>
      <c r="G4" s="1"/>
      <c r="H4" s="1"/>
      <c r="J4" s="22" t="s">
        <v>7</v>
      </c>
      <c r="K4" s="23">
        <f>B28</f>
        <v>225</v>
      </c>
      <c r="L4" s="8" t="s">
        <v>4</v>
      </c>
      <c r="M4" s="8" t="s">
        <v>8</v>
      </c>
      <c r="N4" s="32">
        <f>F27</f>
        <v>2827.3003046790991</v>
      </c>
    </row>
    <row r="5" spans="1:14" ht="15">
      <c r="A5" s="6" t="s">
        <v>9</v>
      </c>
      <c r="B5" s="7">
        <v>1200</v>
      </c>
      <c r="C5" s="8" t="s">
        <v>4</v>
      </c>
      <c r="D5" s="9" t="s">
        <v>10</v>
      </c>
      <c r="J5" s="22" t="s">
        <v>11</v>
      </c>
      <c r="K5" s="23">
        <f>B26</f>
        <v>248.10764251989173</v>
      </c>
      <c r="L5" s="8" t="s">
        <v>12</v>
      </c>
      <c r="M5" s="8" t="s">
        <v>13</v>
      </c>
      <c r="N5" s="32">
        <f>F24</f>
        <v>147.73776546426811</v>
      </c>
    </row>
    <row r="6" spans="1:14" ht="15">
      <c r="A6" s="6" t="s">
        <v>14</v>
      </c>
      <c r="B6" s="7">
        <v>8</v>
      </c>
      <c r="C6" s="8" t="s">
        <v>15</v>
      </c>
      <c r="D6" s="9" t="s">
        <v>16</v>
      </c>
      <c r="J6" s="22" t="s">
        <v>17</v>
      </c>
      <c r="K6" s="23">
        <f>B30</f>
        <v>48</v>
      </c>
      <c r="L6" s="8" t="s">
        <v>15</v>
      </c>
      <c r="M6" s="8" t="s">
        <v>18</v>
      </c>
      <c r="N6" s="32">
        <f>F26</f>
        <v>2679.5625392148308</v>
      </c>
    </row>
    <row r="7" spans="1:14" ht="29.25">
      <c r="A7" s="6" t="s">
        <v>19</v>
      </c>
      <c r="B7" s="10">
        <v>300</v>
      </c>
      <c r="C7" s="8" t="s">
        <v>20</v>
      </c>
      <c r="D7" s="9" t="s">
        <v>21</v>
      </c>
      <c r="J7" s="22" t="s">
        <v>22</v>
      </c>
      <c r="K7" s="23">
        <f>B27</f>
        <v>250</v>
      </c>
      <c r="L7" s="8" t="s">
        <v>23</v>
      </c>
      <c r="M7" s="8" t="s">
        <v>24</v>
      </c>
      <c r="N7" s="32">
        <f>B31</f>
        <v>37.5</v>
      </c>
    </row>
    <row r="8" spans="1:14" ht="29.25">
      <c r="A8" s="6" t="s">
        <v>25</v>
      </c>
      <c r="B8" s="11">
        <v>0.95</v>
      </c>
      <c r="C8" s="8" t="s">
        <v>15</v>
      </c>
      <c r="D8" s="9" t="s">
        <v>26</v>
      </c>
      <c r="J8" s="25" t="s">
        <v>27</v>
      </c>
      <c r="K8" s="26">
        <f>F27/B6</f>
        <v>353.41253808488739</v>
      </c>
      <c r="L8" s="20" t="s">
        <v>28</v>
      </c>
      <c r="M8" s="20" t="s">
        <v>29</v>
      </c>
      <c r="N8" s="33">
        <f>F27/B30</f>
        <v>58.902089680814562</v>
      </c>
    </row>
    <row r="9" spans="1:14" ht="29.25">
      <c r="A9" s="6" t="s">
        <v>30</v>
      </c>
      <c r="B9" s="11">
        <v>1</v>
      </c>
      <c r="C9" s="8" t="s">
        <v>15</v>
      </c>
      <c r="D9" s="9" t="s">
        <v>31</v>
      </c>
    </row>
    <row r="10" spans="1:14" ht="15">
      <c r="A10" s="6" t="s">
        <v>32</v>
      </c>
      <c r="B10" s="11">
        <v>1.5</v>
      </c>
      <c r="C10" s="8" t="s">
        <v>33</v>
      </c>
      <c r="D10" s="9" t="s">
        <v>34</v>
      </c>
    </row>
    <row r="11" spans="1:14" ht="15">
      <c r="A11" s="6" t="s">
        <v>35</v>
      </c>
      <c r="B11" s="11">
        <v>1.25</v>
      </c>
      <c r="C11" s="8" t="s">
        <v>33</v>
      </c>
      <c r="D11" s="9" t="s">
        <v>36</v>
      </c>
    </row>
    <row r="12" spans="1:14" ht="15">
      <c r="A12" s="12" t="s">
        <v>37</v>
      </c>
      <c r="B12" s="13"/>
      <c r="C12" s="14"/>
      <c r="D12" s="15"/>
      <c r="E12" s="1"/>
      <c r="F12" s="1"/>
      <c r="G12" s="1"/>
      <c r="H12" s="1"/>
    </row>
    <row r="13" spans="1:14" ht="15">
      <c r="A13" s="6" t="s">
        <v>38</v>
      </c>
      <c r="B13" s="16">
        <v>0.1</v>
      </c>
      <c r="C13" s="8" t="s">
        <v>39</v>
      </c>
      <c r="D13" s="9" t="s">
        <v>40</v>
      </c>
    </row>
    <row r="14" spans="1:14" ht="15">
      <c r="A14" s="6" t="s">
        <v>41</v>
      </c>
      <c r="B14" s="11">
        <v>0.1</v>
      </c>
      <c r="C14" s="8" t="s">
        <v>39</v>
      </c>
      <c r="D14" s="9" t="s">
        <v>42</v>
      </c>
    </row>
    <row r="15" spans="1:14" ht="29.25">
      <c r="A15" s="6" t="s">
        <v>43</v>
      </c>
      <c r="B15" s="17">
        <v>5</v>
      </c>
      <c r="C15" s="8" t="s">
        <v>44</v>
      </c>
      <c r="D15" s="9" t="s">
        <v>45</v>
      </c>
    </row>
    <row r="16" spans="1:14" ht="15">
      <c r="A16" s="6" t="s">
        <v>46</v>
      </c>
      <c r="B16" s="10">
        <v>300</v>
      </c>
      <c r="C16" s="8" t="s">
        <v>47</v>
      </c>
      <c r="D16" s="9" t="s">
        <v>48</v>
      </c>
    </row>
    <row r="17" spans="1:8" ht="15">
      <c r="A17" s="6" t="s">
        <v>49</v>
      </c>
      <c r="B17" s="7">
        <v>200</v>
      </c>
      <c r="C17" s="8" t="s">
        <v>4</v>
      </c>
      <c r="D17" s="9" t="s">
        <v>50</v>
      </c>
    </row>
    <row r="18" spans="1:8" ht="15">
      <c r="A18" s="6" t="s">
        <v>51</v>
      </c>
      <c r="B18" s="7">
        <v>100</v>
      </c>
      <c r="C18" s="8" t="s">
        <v>23</v>
      </c>
      <c r="D18" s="9" t="s">
        <v>52</v>
      </c>
    </row>
    <row r="19" spans="1:8" ht="15">
      <c r="A19" s="6" t="s">
        <v>53</v>
      </c>
      <c r="B19" s="10">
        <v>1</v>
      </c>
      <c r="C19" s="8" t="s">
        <v>15</v>
      </c>
      <c r="D19" s="9" t="s">
        <v>54</v>
      </c>
    </row>
    <row r="20" spans="1:8" ht="15">
      <c r="A20" s="6" t="s">
        <v>55</v>
      </c>
      <c r="B20" s="10">
        <v>1</v>
      </c>
      <c r="C20" s="8" t="s">
        <v>15</v>
      </c>
      <c r="D20" s="9" t="s">
        <v>56</v>
      </c>
    </row>
    <row r="21" spans="1:8" ht="15">
      <c r="A21" s="18" t="s">
        <v>57</v>
      </c>
      <c r="B21" s="19">
        <v>0</v>
      </c>
      <c r="C21" s="20" t="s">
        <v>28</v>
      </c>
      <c r="D21" s="21" t="s">
        <v>58</v>
      </c>
    </row>
    <row r="23" spans="1:8" ht="15">
      <c r="A23" s="3" t="s">
        <v>59</v>
      </c>
      <c r="B23" s="4"/>
      <c r="C23" s="4"/>
      <c r="D23" s="4"/>
      <c r="E23" s="4" t="s">
        <v>60</v>
      </c>
      <c r="F23" s="4"/>
      <c r="G23" s="4"/>
      <c r="H23" s="5"/>
    </row>
    <row r="24" spans="1:8">
      <c r="A24" s="22" t="s">
        <v>61</v>
      </c>
      <c r="B24" s="23">
        <f>B5/B6</f>
        <v>150</v>
      </c>
      <c r="C24" s="8" t="s">
        <v>4</v>
      </c>
      <c r="D24" s="8"/>
      <c r="E24" s="8" t="s">
        <v>62</v>
      </c>
      <c r="F24" s="23">
        <f>B6*3*B26^2*(B14/1000)</f>
        <v>147.73776546426811</v>
      </c>
      <c r="G24" s="8" t="s">
        <v>28</v>
      </c>
      <c r="H24" s="24"/>
    </row>
    <row r="25" spans="1:8">
      <c r="A25" s="22" t="s">
        <v>63</v>
      </c>
      <c r="B25" s="23">
        <f>0.6123724357*B9*B24</f>
        <v>91.855865355000006</v>
      </c>
      <c r="C25" s="8" t="s">
        <v>4</v>
      </c>
      <c r="D25" s="8"/>
      <c r="E25" s="8" t="s">
        <v>64</v>
      </c>
      <c r="F25" s="23">
        <f>(B12+B13)*(B24/B17)^B19*(B26/B18)^B20</f>
        <v>0.18608073188991883</v>
      </c>
      <c r="G25" s="8" t="s">
        <v>65</v>
      </c>
      <c r="H25" s="24"/>
    </row>
    <row r="26" spans="1:8">
      <c r="A26" s="22" t="s">
        <v>66</v>
      </c>
      <c r="B26" s="23">
        <f>B7*1000/(SQRT(3)*B25*B8)/B6</f>
        <v>248.10764251989173</v>
      </c>
      <c r="C26" s="8" t="s">
        <v>12</v>
      </c>
      <c r="D26" s="8"/>
      <c r="E26" s="8" t="s">
        <v>67</v>
      </c>
      <c r="F26" s="23">
        <f>B30*(F25/1000)*(B16*1000)</f>
        <v>2679.5625392148308</v>
      </c>
      <c r="G26" s="8" t="s">
        <v>28</v>
      </c>
      <c r="H26" s="24"/>
    </row>
    <row r="27" spans="1:8">
      <c r="A27" s="22" t="s">
        <v>68</v>
      </c>
      <c r="B27" s="23">
        <f>B7*1000/B5</f>
        <v>250</v>
      </c>
      <c r="C27" s="8" t="s">
        <v>23</v>
      </c>
      <c r="D27" s="8"/>
      <c r="E27" s="8" t="s">
        <v>69</v>
      </c>
      <c r="F27" s="23">
        <f>F24+F26+B21</f>
        <v>2827.3003046790991</v>
      </c>
      <c r="G27" s="8" t="s">
        <v>28</v>
      </c>
      <c r="H27" s="24"/>
    </row>
    <row r="28" spans="1:8">
      <c r="A28" s="22" t="s">
        <v>70</v>
      </c>
      <c r="B28" s="23">
        <f>B24*B10</f>
        <v>225</v>
      </c>
      <c r="C28" s="8" t="s">
        <v>4</v>
      </c>
      <c r="D28" s="8"/>
      <c r="E28" s="8" t="s">
        <v>71</v>
      </c>
      <c r="F28" s="23">
        <f>B7*1000+F27</f>
        <v>302827.30030467908</v>
      </c>
      <c r="G28" s="8" t="s">
        <v>28</v>
      </c>
      <c r="H28" s="24"/>
    </row>
    <row r="29" spans="1:8">
      <c r="A29" s="22" t="s">
        <v>72</v>
      </c>
      <c r="B29" s="23">
        <f>B26*B11</f>
        <v>310.13455314986464</v>
      </c>
      <c r="C29" s="8" t="s">
        <v>23</v>
      </c>
      <c r="D29" s="8"/>
      <c r="E29" s="8" t="s">
        <v>5</v>
      </c>
      <c r="F29" s="23">
        <f>B7*1000/F28*100</f>
        <v>99.066365449272737</v>
      </c>
      <c r="G29" s="8" t="s">
        <v>73</v>
      </c>
      <c r="H29" s="24"/>
    </row>
    <row r="30" spans="1:8">
      <c r="A30" s="22" t="s">
        <v>74</v>
      </c>
      <c r="B30" s="23">
        <f>6*B6</f>
        <v>48</v>
      </c>
      <c r="C30" s="8" t="s">
        <v>15</v>
      </c>
      <c r="D30" s="8"/>
      <c r="E30" s="8" t="s">
        <v>75</v>
      </c>
      <c r="F30" s="23">
        <f>IF(F27=0,0,F24/F27*100)</f>
        <v>5.2254005426931993</v>
      </c>
      <c r="G30" s="8" t="s">
        <v>73</v>
      </c>
      <c r="H30" s="24"/>
    </row>
    <row r="31" spans="1:8">
      <c r="A31" s="25" t="s">
        <v>76</v>
      </c>
      <c r="B31" s="26">
        <f>B7/B6</f>
        <v>37.5</v>
      </c>
      <c r="C31" s="20" t="s">
        <v>20</v>
      </c>
      <c r="D31" s="20"/>
      <c r="E31" s="20" t="s">
        <v>77</v>
      </c>
      <c r="F31" s="26">
        <f>IF(F27=0,0,F26/F27*100)</f>
        <v>94.774599457306792</v>
      </c>
      <c r="G31" s="20" t="s">
        <v>73</v>
      </c>
      <c r="H31" s="27"/>
    </row>
    <row r="34" spans="1:5" ht="15">
      <c r="A34" s="60" t="s">
        <v>78</v>
      </c>
      <c r="B34" s="57"/>
      <c r="C34" s="57"/>
      <c r="D34" s="57"/>
      <c r="E34" s="57"/>
    </row>
    <row r="35" spans="1:5" ht="15">
      <c r="A35" s="3" t="s">
        <v>79</v>
      </c>
      <c r="B35" s="4" t="s">
        <v>80</v>
      </c>
      <c r="C35" s="4" t="s">
        <v>81</v>
      </c>
      <c r="D35" s="4" t="s">
        <v>82</v>
      </c>
      <c r="E35" s="5" t="s">
        <v>83</v>
      </c>
    </row>
    <row r="36" spans="1:5">
      <c r="A36" s="36">
        <f>B16/20*2</f>
        <v>30</v>
      </c>
      <c r="B36" s="34">
        <f t="shared" ref="B36:B45" si="0">$F$24</f>
        <v>147.73776546426811</v>
      </c>
      <c r="C36" s="34">
        <f t="shared" ref="C36:C45" si="1">$B$30*($F$25/1000)*(A36*1000)</f>
        <v>267.9562539214831</v>
      </c>
      <c r="D36" s="34">
        <f t="shared" ref="D36:D45" si="2">B36+C36+$B$21</f>
        <v>415.69401938575118</v>
      </c>
      <c r="E36" s="35">
        <f t="shared" ref="E36:E45" si="3">$B$7*1000/($B$7*1000+D36)*100</f>
        <v>99.86162706287945</v>
      </c>
    </row>
    <row r="37" spans="1:5">
      <c r="A37" s="36">
        <f>B16/20*2*2</f>
        <v>60</v>
      </c>
      <c r="B37" s="34">
        <f t="shared" si="0"/>
        <v>147.73776546426811</v>
      </c>
      <c r="C37" s="34">
        <f t="shared" si="1"/>
        <v>535.91250784296619</v>
      </c>
      <c r="D37" s="34">
        <f t="shared" si="2"/>
        <v>683.65027330723433</v>
      </c>
      <c r="E37" s="35">
        <f t="shared" si="3"/>
        <v>99.77263470338815</v>
      </c>
    </row>
    <row r="38" spans="1:5">
      <c r="A38" s="36">
        <f>B16/20*3*2</f>
        <v>90</v>
      </c>
      <c r="B38" s="34">
        <f t="shared" si="0"/>
        <v>147.73776546426811</v>
      </c>
      <c r="C38" s="34">
        <f t="shared" si="1"/>
        <v>803.86876176444935</v>
      </c>
      <c r="D38" s="34">
        <f t="shared" si="2"/>
        <v>951.60652722871748</v>
      </c>
      <c r="E38" s="35">
        <f t="shared" si="3"/>
        <v>99.683800814951752</v>
      </c>
    </row>
    <row r="39" spans="1:5">
      <c r="A39" s="36">
        <f>B16/20*4*2</f>
        <v>120</v>
      </c>
      <c r="B39" s="34">
        <f t="shared" si="0"/>
        <v>147.73776546426811</v>
      </c>
      <c r="C39" s="34">
        <f t="shared" si="1"/>
        <v>1071.8250156859324</v>
      </c>
      <c r="D39" s="34">
        <f t="shared" si="2"/>
        <v>1219.5627811502004</v>
      </c>
      <c r="E39" s="35">
        <f t="shared" si="3"/>
        <v>99.595124974656343</v>
      </c>
    </row>
    <row r="40" spans="1:5">
      <c r="A40" s="36">
        <f>B16/20*5*2</f>
        <v>150</v>
      </c>
      <c r="B40" s="34">
        <f t="shared" si="0"/>
        <v>147.73776546426811</v>
      </c>
      <c r="C40" s="34">
        <f t="shared" si="1"/>
        <v>1339.7812696074154</v>
      </c>
      <c r="D40" s="34">
        <f t="shared" si="2"/>
        <v>1487.5190350716834</v>
      </c>
      <c r="E40" s="35">
        <f t="shared" si="3"/>
        <v>99.506606761091618</v>
      </c>
    </row>
    <row r="41" spans="1:5">
      <c r="A41" s="36">
        <f>B16/20*6*2</f>
        <v>180</v>
      </c>
      <c r="B41" s="34">
        <f t="shared" si="0"/>
        <v>147.73776546426811</v>
      </c>
      <c r="C41" s="34">
        <f t="shared" si="1"/>
        <v>1607.7375235288987</v>
      </c>
      <c r="D41" s="34">
        <f t="shared" si="2"/>
        <v>1755.4752889931667</v>
      </c>
      <c r="E41" s="35">
        <f t="shared" si="3"/>
        <v>99.418245754343999</v>
      </c>
    </row>
    <row r="42" spans="1:5">
      <c r="A42" s="36">
        <f>B16/20*7*2</f>
        <v>210</v>
      </c>
      <c r="B42" s="34">
        <f t="shared" si="0"/>
        <v>147.73776546426811</v>
      </c>
      <c r="C42" s="34">
        <f t="shared" si="1"/>
        <v>1875.6937774503817</v>
      </c>
      <c r="D42" s="34">
        <f t="shared" si="2"/>
        <v>2023.4315429146498</v>
      </c>
      <c r="E42" s="35">
        <f t="shared" si="3"/>
        <v>99.33004153599019</v>
      </c>
    </row>
    <row r="43" spans="1:5">
      <c r="A43" s="36">
        <f>B16/20*8*2</f>
        <v>240</v>
      </c>
      <c r="B43" s="34">
        <f t="shared" si="0"/>
        <v>147.73776546426811</v>
      </c>
      <c r="C43" s="34">
        <f t="shared" si="1"/>
        <v>2143.6500313718648</v>
      </c>
      <c r="D43" s="34">
        <f t="shared" si="2"/>
        <v>2291.387796836133</v>
      </c>
      <c r="E43" s="35">
        <f t="shared" si="3"/>
        <v>99.241993689090421</v>
      </c>
    </row>
    <row r="44" spans="1:5">
      <c r="A44" s="36">
        <f>B16/20*9*2</f>
        <v>270</v>
      </c>
      <c r="B44" s="34">
        <f t="shared" si="0"/>
        <v>147.73776546426811</v>
      </c>
      <c r="C44" s="34">
        <f t="shared" si="1"/>
        <v>2411.6062852933478</v>
      </c>
      <c r="D44" s="34">
        <f t="shared" si="2"/>
        <v>2559.3440507576161</v>
      </c>
      <c r="E44" s="35">
        <f t="shared" si="3"/>
        <v>99.15410179818204</v>
      </c>
    </row>
    <row r="45" spans="1:5">
      <c r="A45" s="36">
        <f>B16</f>
        <v>300</v>
      </c>
      <c r="B45" s="37">
        <f t="shared" si="0"/>
        <v>147.73776546426811</v>
      </c>
      <c r="C45" s="37">
        <f t="shared" si="1"/>
        <v>2679.5625392148308</v>
      </c>
      <c r="D45" s="37">
        <f t="shared" si="2"/>
        <v>2827.3003046790991</v>
      </c>
      <c r="E45" s="38">
        <f t="shared" si="3"/>
        <v>99.066365449272737</v>
      </c>
    </row>
  </sheetData>
  <mergeCells count="4">
    <mergeCell ref="A1:H1"/>
    <mergeCell ref="A2:H2"/>
    <mergeCell ref="J1:N1"/>
    <mergeCell ref="A34:E34"/>
  </mergeCells>
  <conditionalFormatting sqref="E36:E45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sqref="A1:H1"/>
    </sheetView>
  </sheetViews>
  <sheetFormatPr defaultRowHeight="14.25"/>
  <cols>
    <col min="1" max="8" width="16" customWidth="1"/>
  </cols>
  <sheetData>
    <row r="1" spans="1:8" ht="18">
      <c r="A1" s="61" t="s">
        <v>95</v>
      </c>
      <c r="B1" s="57"/>
      <c r="C1" s="57"/>
      <c r="D1" s="57"/>
      <c r="E1" s="57"/>
      <c r="F1" s="57"/>
      <c r="G1" s="57"/>
      <c r="H1" s="57"/>
    </row>
    <row r="3" spans="1:8" ht="15">
      <c r="A3" s="62" t="s">
        <v>79</v>
      </c>
      <c r="B3" s="62">
        <v>5</v>
      </c>
      <c r="C3" s="62">
        <v>10</v>
      </c>
      <c r="D3" s="62">
        <v>15</v>
      </c>
      <c r="E3" s="62">
        <v>20</v>
      </c>
      <c r="F3" s="62">
        <v>30</v>
      </c>
      <c r="G3" s="62">
        <v>50</v>
      </c>
      <c r="H3" s="62">
        <v>100</v>
      </c>
    </row>
    <row r="4" spans="1:8">
      <c r="A4" t="s">
        <v>5</v>
      </c>
      <c r="B4" s="45">
        <f>'Device Selection'!$B$5/('Device Selection'!$B$5+(('Device Selection'!$B$30)+('Device Selection'!$B$20*6*(('Device Selection'!$G$7+'Device Selection'!$G$8)/1000)*('Device Selection'!$B$21/'Device Selection'!$G$9)*('Device Selection'!$B$25/'Device Selection'!$G$10)*(B3*1000))+('Device Selection'!$B$32))/1000)</f>
        <v>0.99337279063334094</v>
      </c>
      <c r="C4" s="45">
        <f>'Device Selection'!$B$5/('Device Selection'!$B$5+(('Device Selection'!$B$30)+('Device Selection'!$B$20*6*(('Device Selection'!$G$7+'Device Selection'!$G$8)/1000)*('Device Selection'!$B$21/'Device Selection'!$G$9)*('Device Selection'!$B$25/'Device Selection'!$G$10)*(C3*1000))+('Device Selection'!$B$32))/1000)</f>
        <v>0.99286418154175238</v>
      </c>
      <c r="D4" s="45">
        <f>'Device Selection'!$B$5/('Device Selection'!$B$5+(('Device Selection'!$B$30)+('Device Selection'!$B$20*6*(('Device Selection'!$G$7+'Device Selection'!$G$8)/1000)*('Device Selection'!$B$21/'Device Selection'!$G$9)*('Device Selection'!$B$25/'Device Selection'!$G$10)*(D3*1000))+('Device Selection'!$B$32))/1000)</f>
        <v>0.9923560930016263</v>
      </c>
      <c r="E4" s="45">
        <f>'Device Selection'!$B$5/('Device Selection'!$B$5+(('Device Selection'!$B$30)+('Device Selection'!$B$20*6*(('Device Selection'!$G$7+'Device Selection'!$G$8)/1000)*('Device Selection'!$B$21/'Device Selection'!$G$9)*('Device Selection'!$B$25/'Device Selection'!$G$10)*(E3*1000))+('Device Selection'!$B$32))/1000)</f>
        <v>0.99184852421420999</v>
      </c>
      <c r="F4" s="45">
        <f>'Device Selection'!$B$5/('Device Selection'!$B$5+(('Device Selection'!$B$30)+('Device Selection'!$B$20*6*(('Device Selection'!$G$7+'Device Selection'!$G$8)/1000)*('Device Selection'!$B$21/'Device Selection'!$G$9)*('Device Selection'!$B$25/'Device Selection'!$G$10)*(F3*1000))+('Device Selection'!$B$32))/1000)</f>
        <v>0.99083494271065908</v>
      </c>
      <c r="G4" s="45">
        <f>'Device Selection'!$B$5/('Device Selection'!$B$5+(('Device Selection'!$B$30)+('Device Selection'!$B$20*6*(('Device Selection'!$G$7+'Device Selection'!$G$8)/1000)*('Device Selection'!$B$21/'Device Selection'!$G$9)*('Device Selection'!$B$25/'Device Selection'!$G$10)*(G3*1000))+('Device Selection'!$B$32))/1000)</f>
        <v>0.9888139817717484</v>
      </c>
      <c r="H4" s="45">
        <f>'Device Selection'!$B$5/('Device Selection'!$B$5+(('Device Selection'!$B$30)+('Device Selection'!$B$20*6*(('Device Selection'!$G$7+'Device Selection'!$G$8)/1000)*('Device Selection'!$B$21/'Device Selection'!$G$9)*('Device Selection'!$B$25/'Device Selection'!$G$10)*(H3*1000))+('Device Selection'!$B$32))/1000)</f>
        <v>0.98379746448461236</v>
      </c>
    </row>
  </sheetData>
  <mergeCells count="2">
    <mergeCell ref="A1:H1"/>
    <mergeCell ref="A3:H3"/>
  </mergeCells>
  <conditionalFormatting sqref="B6:H13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.25"/>
  <cols>
    <col min="1" max="1" width="110" customWidth="1"/>
  </cols>
  <sheetData>
    <row r="1" spans="1:1" ht="16.5">
      <c r="A1" s="2" t="s">
        <v>84</v>
      </c>
    </row>
    <row r="2" spans="1:1">
      <c r="A2" t="s">
        <v>85</v>
      </c>
    </row>
    <row r="3" spans="1:1">
      <c r="A3" t="s">
        <v>86</v>
      </c>
    </row>
    <row r="4" spans="1:1">
      <c r="A4" t="s">
        <v>87</v>
      </c>
    </row>
    <row r="5" spans="1:1">
      <c r="A5" t="s">
        <v>88</v>
      </c>
    </row>
    <row r="6" spans="1:1">
      <c r="A6" t="s">
        <v>89</v>
      </c>
    </row>
    <row r="7" spans="1:1">
      <c r="A7" t="s">
        <v>90</v>
      </c>
    </row>
    <row r="8" spans="1:1">
      <c r="A8" t="s">
        <v>91</v>
      </c>
    </row>
    <row r="9" spans="1:1">
      <c r="A9" t="s">
        <v>92</v>
      </c>
    </row>
    <row r="10" spans="1:1">
      <c r="A10" t="s">
        <v>93</v>
      </c>
    </row>
    <row r="11" spans="1:1">
      <c r="A11" t="s">
        <v>94</v>
      </c>
    </row>
    <row r="13" spans="1:1" ht="28.5">
      <c r="A13" s="41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7"/>
  <sheetViews>
    <sheetView tabSelected="1" workbookViewId="0">
      <selection activeCell="D2" sqref="D2"/>
    </sheetView>
  </sheetViews>
  <sheetFormatPr defaultRowHeight="14.25"/>
  <cols>
    <col min="1" max="1" width="34" customWidth="1"/>
    <col min="2" max="2" width="14.25" bestFit="1" customWidth="1"/>
    <col min="3" max="3" width="10" customWidth="1"/>
    <col min="4" max="4" width="42" customWidth="1"/>
    <col min="6" max="6" width="34" customWidth="1"/>
    <col min="7" max="7" width="16" customWidth="1"/>
    <col min="8" max="8" width="10" customWidth="1"/>
    <col min="9" max="9" width="42" customWidth="1"/>
    <col min="11" max="11" width="28" customWidth="1"/>
    <col min="12" max="17" width="12" customWidth="1"/>
  </cols>
  <sheetData>
    <row r="1" spans="1:17" ht="27.95" customHeight="1">
      <c r="A1" s="63" t="s">
        <v>97</v>
      </c>
      <c r="B1" s="64"/>
      <c r="C1" s="64"/>
      <c r="D1" s="64"/>
      <c r="E1" s="64"/>
      <c r="F1" s="64"/>
      <c r="G1" s="64"/>
      <c r="H1" s="64"/>
      <c r="I1" s="64"/>
      <c r="J1" s="64"/>
      <c r="K1" s="46"/>
      <c r="L1" s="46"/>
      <c r="M1" s="46"/>
      <c r="N1" s="46"/>
      <c r="O1" s="46"/>
      <c r="P1" s="46"/>
      <c r="Q1" s="46"/>
    </row>
    <row r="2" spans="1:17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7" ht="15">
      <c r="A3" s="40" t="s">
        <v>98</v>
      </c>
      <c r="B3" s="40"/>
      <c r="C3" s="40"/>
      <c r="D3" s="40"/>
      <c r="E3" s="46"/>
      <c r="F3" s="40" t="s">
        <v>99</v>
      </c>
      <c r="G3" s="40"/>
      <c r="H3" s="40"/>
      <c r="I3" s="40"/>
      <c r="J3" s="46"/>
      <c r="K3" s="42" t="s">
        <v>100</v>
      </c>
      <c r="L3" s="46"/>
      <c r="M3" s="46"/>
      <c r="N3" s="46"/>
      <c r="O3" s="46"/>
      <c r="P3" s="46"/>
      <c r="Q3" s="46"/>
    </row>
    <row r="4" spans="1:17" ht="57">
      <c r="A4" s="46" t="s">
        <v>101</v>
      </c>
      <c r="B4" s="47">
        <v>1200</v>
      </c>
      <c r="C4" s="46" t="s">
        <v>4</v>
      </c>
      <c r="D4" s="48" t="s">
        <v>102</v>
      </c>
      <c r="E4" s="46"/>
      <c r="F4" s="46" t="s">
        <v>103</v>
      </c>
      <c r="G4" s="47">
        <v>200</v>
      </c>
      <c r="H4" s="46" t="s">
        <v>4</v>
      </c>
      <c r="I4" s="48" t="s">
        <v>104</v>
      </c>
      <c r="J4" s="46"/>
      <c r="K4" s="48" t="s">
        <v>105</v>
      </c>
      <c r="L4" s="46"/>
      <c r="M4" s="46"/>
      <c r="N4" s="46"/>
      <c r="O4" s="46"/>
      <c r="P4" s="46"/>
      <c r="Q4" s="46"/>
    </row>
    <row r="5" spans="1:17" ht="28.5">
      <c r="A5" s="46" t="s">
        <v>106</v>
      </c>
      <c r="B5" s="47">
        <v>300</v>
      </c>
      <c r="C5" s="46" t="s">
        <v>20</v>
      </c>
      <c r="D5" s="48" t="s">
        <v>107</v>
      </c>
      <c r="E5" s="46"/>
      <c r="F5" s="46" t="s">
        <v>108</v>
      </c>
      <c r="G5" s="47">
        <v>100</v>
      </c>
      <c r="H5" s="46" t="s">
        <v>23</v>
      </c>
      <c r="I5" s="48" t="s">
        <v>109</v>
      </c>
      <c r="J5" s="46"/>
      <c r="K5" s="48" t="s">
        <v>110</v>
      </c>
      <c r="L5" s="46"/>
      <c r="M5" s="46"/>
      <c r="N5" s="46"/>
      <c r="O5" s="46"/>
      <c r="P5" s="46"/>
      <c r="Q5" s="46"/>
    </row>
    <row r="6" spans="1:17" ht="42.75">
      <c r="A6" s="46" t="s">
        <v>25</v>
      </c>
      <c r="B6" s="47">
        <v>0.95</v>
      </c>
      <c r="C6" s="46" t="s">
        <v>15</v>
      </c>
      <c r="D6" s="48" t="s">
        <v>111</v>
      </c>
      <c r="E6" s="46"/>
      <c r="F6" s="46" t="s">
        <v>112</v>
      </c>
      <c r="G6" s="47">
        <v>5</v>
      </c>
      <c r="H6" s="46" t="s">
        <v>44</v>
      </c>
      <c r="I6" s="48" t="s">
        <v>113</v>
      </c>
      <c r="J6" s="46"/>
      <c r="K6" s="48" t="s">
        <v>114</v>
      </c>
      <c r="L6" s="46"/>
      <c r="M6" s="46"/>
      <c r="N6" s="46"/>
      <c r="O6" s="46"/>
      <c r="P6" s="46"/>
      <c r="Q6" s="46"/>
    </row>
    <row r="7" spans="1:17" ht="57">
      <c r="A7" s="46" t="s">
        <v>30</v>
      </c>
      <c r="B7" s="47">
        <v>1</v>
      </c>
      <c r="C7" s="46" t="s">
        <v>15</v>
      </c>
      <c r="D7" s="48" t="s">
        <v>115</v>
      </c>
      <c r="E7" s="46"/>
      <c r="F7" s="46" t="s">
        <v>116</v>
      </c>
      <c r="G7" s="47">
        <v>0.1</v>
      </c>
      <c r="H7" s="46" t="s">
        <v>39</v>
      </c>
      <c r="I7" s="48" t="s">
        <v>117</v>
      </c>
      <c r="J7" s="46"/>
      <c r="K7" s="48" t="s">
        <v>118</v>
      </c>
      <c r="L7" s="46"/>
      <c r="M7" s="46"/>
      <c r="N7" s="46"/>
      <c r="O7" s="46"/>
      <c r="P7" s="46"/>
      <c r="Q7" s="46"/>
    </row>
    <row r="8" spans="1:17" ht="42.75">
      <c r="A8" s="46" t="s">
        <v>119</v>
      </c>
      <c r="B8" s="47">
        <v>0.2</v>
      </c>
      <c r="C8" s="46" t="s">
        <v>33</v>
      </c>
      <c r="D8" s="48" t="s">
        <v>120</v>
      </c>
      <c r="E8" s="46"/>
      <c r="F8" s="46" t="s">
        <v>121</v>
      </c>
      <c r="G8" s="47">
        <v>0.1</v>
      </c>
      <c r="H8" s="46" t="s">
        <v>39</v>
      </c>
      <c r="I8" s="48" t="s">
        <v>122</v>
      </c>
      <c r="J8" s="46"/>
      <c r="K8" s="48" t="s">
        <v>123</v>
      </c>
      <c r="L8" s="46"/>
      <c r="M8" s="46"/>
      <c r="N8" s="46"/>
      <c r="O8" s="46"/>
      <c r="P8" s="46"/>
      <c r="Q8" s="46"/>
    </row>
    <row r="9" spans="1:17" ht="57">
      <c r="A9" s="46" t="s">
        <v>124</v>
      </c>
      <c r="B9" s="47">
        <v>0.2</v>
      </c>
      <c r="C9" s="46" t="s">
        <v>33</v>
      </c>
      <c r="D9" s="48" t="s">
        <v>125</v>
      </c>
      <c r="E9" s="46"/>
      <c r="F9" s="46" t="s">
        <v>126</v>
      </c>
      <c r="G9" s="47">
        <v>100</v>
      </c>
      <c r="H9" s="46" t="s">
        <v>4</v>
      </c>
      <c r="I9" s="48" t="s">
        <v>127</v>
      </c>
      <c r="J9" s="46"/>
      <c r="K9" s="48" t="s">
        <v>128</v>
      </c>
      <c r="L9" s="46"/>
      <c r="M9" s="46"/>
      <c r="N9" s="46"/>
      <c r="O9" s="46"/>
      <c r="P9" s="46"/>
      <c r="Q9" s="46"/>
    </row>
    <row r="10" spans="1:17" ht="71.25">
      <c r="A10" s="46" t="s">
        <v>129</v>
      </c>
      <c r="B10" s="47">
        <v>70</v>
      </c>
      <c r="C10" s="46" t="s">
        <v>130</v>
      </c>
      <c r="D10" s="48" t="s">
        <v>131</v>
      </c>
      <c r="E10" s="46"/>
      <c r="F10" s="46" t="s">
        <v>132</v>
      </c>
      <c r="G10" s="47">
        <v>100</v>
      </c>
      <c r="H10" s="46" t="s">
        <v>23</v>
      </c>
      <c r="I10" s="48" t="s">
        <v>133</v>
      </c>
      <c r="J10" s="46"/>
      <c r="K10" s="48" t="s">
        <v>134</v>
      </c>
      <c r="L10" s="46"/>
      <c r="M10" s="46"/>
      <c r="N10" s="46"/>
      <c r="O10" s="46"/>
      <c r="P10" s="46"/>
      <c r="Q10" s="46"/>
    </row>
    <row r="11" spans="1:17" ht="57">
      <c r="A11" s="46" t="s">
        <v>135</v>
      </c>
      <c r="B11" s="47">
        <v>150</v>
      </c>
      <c r="C11" s="46" t="s">
        <v>130</v>
      </c>
      <c r="D11" s="48" t="s">
        <v>136</v>
      </c>
      <c r="E11" s="46"/>
      <c r="F11" s="46" t="s">
        <v>46</v>
      </c>
      <c r="G11" s="47">
        <v>100</v>
      </c>
      <c r="H11" s="46" t="s">
        <v>47</v>
      </c>
      <c r="I11" s="48" t="s">
        <v>137</v>
      </c>
      <c r="J11" s="46"/>
      <c r="K11" s="48" t="s">
        <v>138</v>
      </c>
      <c r="L11" s="46"/>
      <c r="M11" s="46"/>
      <c r="N11" s="46"/>
      <c r="O11" s="46"/>
      <c r="P11" s="46"/>
      <c r="Q11" s="46"/>
    </row>
    <row r="12" spans="1:17" ht="57">
      <c r="A12" s="46" t="s">
        <v>139</v>
      </c>
      <c r="B12" s="47">
        <v>0</v>
      </c>
      <c r="C12" s="46" t="s">
        <v>15</v>
      </c>
      <c r="D12" s="48" t="s">
        <v>140</v>
      </c>
      <c r="E12" s="46"/>
      <c r="F12" s="46" t="s">
        <v>141</v>
      </c>
      <c r="G12" s="47">
        <v>0.05</v>
      </c>
      <c r="H12" s="46" t="s">
        <v>142</v>
      </c>
      <c r="I12" s="48" t="s">
        <v>143</v>
      </c>
      <c r="J12" s="46"/>
      <c r="K12" s="48" t="s">
        <v>144</v>
      </c>
      <c r="L12" s="46"/>
      <c r="M12" s="46"/>
      <c r="N12" s="46"/>
      <c r="O12" s="46"/>
      <c r="P12" s="46"/>
      <c r="Q12" s="46"/>
    </row>
    <row r="13" spans="1:17" ht="15">
      <c r="A13" s="46" t="s">
        <v>145</v>
      </c>
      <c r="B13" s="47">
        <v>0</v>
      </c>
      <c r="C13" s="46" t="s">
        <v>15</v>
      </c>
      <c r="D13" s="48" t="s">
        <v>146</v>
      </c>
      <c r="E13" s="46"/>
      <c r="F13" s="46" t="s">
        <v>147</v>
      </c>
      <c r="G13" s="47">
        <v>0.03</v>
      </c>
      <c r="H13" s="46" t="s">
        <v>142</v>
      </c>
      <c r="I13" s="48" t="s">
        <v>148</v>
      </c>
      <c r="J13" s="46"/>
      <c r="K13" s="46"/>
      <c r="L13" s="46"/>
      <c r="M13" s="46"/>
      <c r="N13" s="46"/>
      <c r="O13" s="46"/>
      <c r="P13" s="46"/>
      <c r="Q13" s="46"/>
    </row>
    <row r="14" spans="1:17" ht="15">
      <c r="A14" s="46" t="s">
        <v>149</v>
      </c>
      <c r="B14" s="47">
        <v>20</v>
      </c>
      <c r="C14" s="46" t="s">
        <v>15</v>
      </c>
      <c r="D14" s="48" t="s">
        <v>150</v>
      </c>
      <c r="E14" s="46"/>
      <c r="F14" s="46" t="s">
        <v>151</v>
      </c>
      <c r="G14" s="47">
        <v>0.05</v>
      </c>
      <c r="H14" s="46" t="s">
        <v>142</v>
      </c>
      <c r="I14" s="48" t="s">
        <v>152</v>
      </c>
      <c r="J14" s="46"/>
      <c r="K14" s="46"/>
      <c r="L14" s="46"/>
      <c r="M14" s="46"/>
      <c r="N14" s="46"/>
      <c r="O14" s="46"/>
      <c r="P14" s="46"/>
      <c r="Q14" s="46"/>
    </row>
    <row r="15" spans="1:17" ht="28.5">
      <c r="A15" s="46" t="s">
        <v>153</v>
      </c>
      <c r="B15" s="47">
        <v>0</v>
      </c>
      <c r="C15" s="46" t="s">
        <v>28</v>
      </c>
      <c r="D15" s="48" t="s">
        <v>154</v>
      </c>
      <c r="E15" s="46"/>
      <c r="F15" s="46"/>
      <c r="G15" s="47"/>
      <c r="H15" s="46"/>
      <c r="I15" s="48"/>
      <c r="J15" s="46"/>
      <c r="K15" s="65" t="s">
        <v>155</v>
      </c>
      <c r="L15" s="65"/>
      <c r="M15" s="65"/>
      <c r="N15" s="65"/>
      <c r="O15" s="65"/>
      <c r="P15" s="65"/>
      <c r="Q15" s="65"/>
    </row>
    <row r="16" spans="1:17" ht="1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0" t="s">
        <v>156</v>
      </c>
      <c r="L16" s="40">
        <v>1</v>
      </c>
      <c r="M16" s="40">
        <v>2</v>
      </c>
      <c r="N16" s="40">
        <v>3</v>
      </c>
      <c r="O16" s="40">
        <v>4</v>
      </c>
      <c r="P16" s="40">
        <v>5</v>
      </c>
      <c r="Q16" s="40">
        <v>6</v>
      </c>
    </row>
    <row r="17" spans="1: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>
        <f>$B$20+0</f>
        <v>8</v>
      </c>
      <c r="L17" s="49">
        <f t="shared" ref="L17:L26" si="0">$B$5/($B$5+((K17*3*$B$26^2*($G$6/1000)/1)+(K17*6*(($G$7+$G$8)/1000)*(($B$4/K17)/$G$9)*($B$26/$G$10)*($G$11*1000))+(K17*$B$15))/1000)</f>
        <v>0.99985242178254485</v>
      </c>
      <c r="M17" s="49">
        <f t="shared" ref="M17:M26" si="1">$B$5/($B$5+((K17*3*$B$26^2*($G$6/1000)/2)+(K17*6*(($G$7+$G$8)/1000)*(($B$4/K17)/$G$9)*($B$26/$G$10)*($G$11*1000))+(K17*$B$15))/1000)</f>
        <v>0.99985422125454104</v>
      </c>
      <c r="N17" s="49">
        <f t="shared" ref="N17:N26" si="2">$B$5/($B$5+((K17*3*$B$26^2*($G$6/1000)/3)+(K17*6*(($G$7+$G$8)/1000)*(($B$4/K17)/$G$9)*($B$26/$G$10)*($G$11*1000))+(K17*$B$15))/1000)</f>
        <v>0.99985482107997914</v>
      </c>
      <c r="O17" s="49">
        <f t="shared" ref="O17:O26" si="3">$B$5/($B$5+((K17*3*$B$26^2*($G$6/1000)/4)+(K17*6*(($G$7+$G$8)/1000)*(($B$4/K17)/$G$9)*($B$26/$G$10)*($G$11*1000))+(K17*$B$15))/1000)</f>
        <v>0.99985512099296803</v>
      </c>
      <c r="P17" s="49">
        <f t="shared" ref="P17:P26" si="4">$B$5/($B$5+((K17*3*$B$26^2*($G$6/1000)/5)+(K17*6*(($G$7+$G$8)/1000)*(($B$4/K17)/$G$9)*($B$26/$G$10)*($G$11*1000))+(K17*$B$15))/1000)</f>
        <v>0.99985530094084796</v>
      </c>
      <c r="Q17" s="49">
        <f t="shared" ref="Q17:Q26" si="5">$B$5/($B$5+((K17*3*$B$26^2*($G$6/1000)/6)+(K17*6*(($G$7+$G$8)/1000)*(($B$4/K17)/$G$9)*($B$26/$G$10)*($G$11*1000))+(K17*$B$15))/1000)</f>
        <v>0.99985542090613688</v>
      </c>
    </row>
    <row r="18" spans="1:17" ht="15">
      <c r="A18" s="40" t="s">
        <v>157</v>
      </c>
      <c r="B18" s="40" t="s">
        <v>158</v>
      </c>
      <c r="C18" s="40" t="s">
        <v>159</v>
      </c>
      <c r="D18" s="40" t="s">
        <v>160</v>
      </c>
      <c r="E18" s="46"/>
      <c r="F18" s="46"/>
      <c r="G18" s="46"/>
      <c r="H18" s="46"/>
      <c r="I18" s="46"/>
      <c r="J18" s="46"/>
      <c r="K18" s="46">
        <f>$B$20+1</f>
        <v>9</v>
      </c>
      <c r="L18" s="49">
        <f t="shared" si="0"/>
        <v>0.99985197191555786</v>
      </c>
      <c r="M18" s="49">
        <f t="shared" si="1"/>
        <v>0.99985399632018734</v>
      </c>
      <c r="N18" s="49">
        <f t="shared" si="2"/>
        <v>0.9998546711235522</v>
      </c>
      <c r="O18" s="49">
        <f t="shared" si="3"/>
        <v>0.99985500852557618</v>
      </c>
      <c r="P18" s="49">
        <f t="shared" si="4"/>
        <v>0.99985521096689978</v>
      </c>
      <c r="Q18" s="49">
        <f t="shared" si="5"/>
        <v>0.99985534592782788</v>
      </c>
    </row>
    <row r="19" spans="1:17">
      <c r="A19" s="46" t="s">
        <v>161</v>
      </c>
      <c r="B19" s="54">
        <f>CEILING(B4*(1+B8)/G4,1)</f>
        <v>8</v>
      </c>
      <c r="C19" s="46" t="s">
        <v>15</v>
      </c>
      <c r="D19" s="46" t="s">
        <v>162</v>
      </c>
      <c r="E19" s="46"/>
      <c r="F19" s="46"/>
      <c r="G19" s="46"/>
      <c r="H19" s="46"/>
      <c r="I19" s="46"/>
      <c r="J19" s="46"/>
      <c r="K19" s="46">
        <f>$B$20+2</f>
        <v>10</v>
      </c>
      <c r="L19" s="49">
        <f t="shared" si="0"/>
        <v>0.99985152204897565</v>
      </c>
      <c r="M19" s="49">
        <f t="shared" si="1"/>
        <v>0.99985377138593479</v>
      </c>
      <c r="N19" s="49">
        <f t="shared" si="2"/>
        <v>0.99985452116717011</v>
      </c>
      <c r="O19" s="49">
        <f t="shared" si="3"/>
        <v>0.99985489605820954</v>
      </c>
      <c r="P19" s="49">
        <f t="shared" si="4"/>
        <v>0.99985512099296803</v>
      </c>
      <c r="Q19" s="49">
        <f t="shared" si="5"/>
        <v>0.99985527094952997</v>
      </c>
    </row>
    <row r="20" spans="1:17" ht="15">
      <c r="A20" s="46" t="s">
        <v>163</v>
      </c>
      <c r="B20" s="50">
        <f>IF(B12&gt;0,B12,B19)</f>
        <v>8</v>
      </c>
      <c r="C20" s="46" t="s">
        <v>15</v>
      </c>
      <c r="D20" s="48" t="s">
        <v>164</v>
      </c>
      <c r="E20" s="46"/>
      <c r="F20" s="46"/>
      <c r="G20" s="46"/>
      <c r="H20" s="46"/>
      <c r="I20" s="46"/>
      <c r="J20" s="46"/>
      <c r="K20" s="46">
        <f>$B$20+3</f>
        <v>11</v>
      </c>
      <c r="L20" s="49">
        <f t="shared" si="0"/>
        <v>0.99985107218279834</v>
      </c>
      <c r="M20" s="49">
        <f t="shared" si="1"/>
        <v>0.99985354645178348</v>
      </c>
      <c r="N20" s="49">
        <f t="shared" si="2"/>
        <v>0.99985437121083309</v>
      </c>
      <c r="O20" s="49">
        <f t="shared" si="3"/>
        <v>0.99985478359086821</v>
      </c>
      <c r="P20" s="49">
        <f t="shared" si="4"/>
        <v>0.99985503101905249</v>
      </c>
      <c r="Q20" s="49">
        <f t="shared" si="5"/>
        <v>0.99985519597124339</v>
      </c>
    </row>
    <row r="21" spans="1:17" ht="15">
      <c r="A21" s="46" t="s">
        <v>165</v>
      </c>
      <c r="B21" s="50">
        <f>B4/B20</f>
        <v>150</v>
      </c>
      <c r="C21" s="46" t="s">
        <v>4</v>
      </c>
      <c r="D21" s="48" t="s">
        <v>166</v>
      </c>
      <c r="E21" s="46"/>
      <c r="F21" s="46"/>
      <c r="G21" s="46"/>
      <c r="H21" s="46"/>
      <c r="I21" s="46"/>
      <c r="J21" s="46"/>
      <c r="K21" s="46">
        <f>$B$20+4</f>
        <v>12</v>
      </c>
      <c r="L21" s="49">
        <f t="shared" si="0"/>
        <v>0.99985062231702582</v>
      </c>
      <c r="M21" s="49">
        <f t="shared" si="1"/>
        <v>0.99985332151773332</v>
      </c>
      <c r="N21" s="49">
        <f t="shared" si="2"/>
        <v>0.99985422125454104</v>
      </c>
      <c r="O21" s="49">
        <f t="shared" si="3"/>
        <v>0.9998546711235522</v>
      </c>
      <c r="P21" s="49">
        <f t="shared" si="4"/>
        <v>0.99985494104515316</v>
      </c>
      <c r="Q21" s="49">
        <f t="shared" si="5"/>
        <v>0.99985512099296803</v>
      </c>
    </row>
    <row r="22" spans="1:17" ht="15">
      <c r="A22" s="46" t="s">
        <v>167</v>
      </c>
      <c r="B22" s="50">
        <f>B21*(1+B8)</f>
        <v>180</v>
      </c>
      <c r="C22" s="46" t="s">
        <v>4</v>
      </c>
      <c r="D22" s="48" t="s">
        <v>168</v>
      </c>
      <c r="E22" s="46"/>
      <c r="F22" s="46"/>
      <c r="G22" s="46"/>
      <c r="H22" s="46"/>
      <c r="I22" s="46"/>
      <c r="J22" s="46"/>
      <c r="K22" s="46">
        <f>$B$20+5</f>
        <v>13</v>
      </c>
      <c r="L22" s="49">
        <f t="shared" si="0"/>
        <v>0.99985017245165808</v>
      </c>
      <c r="M22" s="49">
        <f t="shared" si="1"/>
        <v>0.99985309658378441</v>
      </c>
      <c r="N22" s="49">
        <f t="shared" si="2"/>
        <v>0.99985407129829396</v>
      </c>
      <c r="O22" s="49">
        <f t="shared" si="3"/>
        <v>0.99985455865626138</v>
      </c>
      <c r="P22" s="49">
        <f t="shared" si="4"/>
        <v>0.99985485107127003</v>
      </c>
      <c r="Q22" s="49">
        <f t="shared" si="5"/>
        <v>0.99985504601470399</v>
      </c>
    </row>
    <row r="23" spans="1:17" ht="15">
      <c r="A23" s="46" t="s">
        <v>169</v>
      </c>
      <c r="B23" s="50">
        <f>B7*B4/SQRT(2)</f>
        <v>848.52813742385695</v>
      </c>
      <c r="C23" s="46" t="s">
        <v>4</v>
      </c>
      <c r="D23" s="48" t="s">
        <v>170</v>
      </c>
      <c r="E23" s="46"/>
      <c r="F23" s="46"/>
      <c r="G23" s="46"/>
      <c r="H23" s="46"/>
      <c r="I23" s="46"/>
      <c r="J23" s="46"/>
      <c r="K23" s="46">
        <f>$B$20+6</f>
        <v>14</v>
      </c>
      <c r="L23" s="49">
        <f t="shared" si="0"/>
        <v>0.99984972258669513</v>
      </c>
      <c r="M23" s="49">
        <f t="shared" si="1"/>
        <v>0.99985287164993664</v>
      </c>
      <c r="N23" s="49">
        <f t="shared" si="2"/>
        <v>0.99985392134209183</v>
      </c>
      <c r="O23" s="49">
        <f t="shared" si="3"/>
        <v>0.99985444618899599</v>
      </c>
      <c r="P23" s="49">
        <f t="shared" si="4"/>
        <v>0.9998547610974029</v>
      </c>
      <c r="Q23" s="49">
        <f t="shared" si="5"/>
        <v>0.99985497103645116</v>
      </c>
    </row>
    <row r="24" spans="1:17" ht="15">
      <c r="A24" s="46" t="s">
        <v>171</v>
      </c>
      <c r="B24" s="50">
        <f>B7*B21/SQRT(2)</f>
        <v>106.06601717798212</v>
      </c>
      <c r="C24" s="46" t="s">
        <v>4</v>
      </c>
      <c r="D24" s="48" t="s">
        <v>172</v>
      </c>
      <c r="E24" s="46"/>
      <c r="F24" s="46"/>
      <c r="G24" s="46"/>
      <c r="H24" s="46"/>
      <c r="I24" s="46"/>
      <c r="J24" s="46"/>
      <c r="K24" s="46">
        <f>$B$20+7</f>
        <v>15</v>
      </c>
      <c r="L24" s="49">
        <f t="shared" si="0"/>
        <v>0.99984927272213708</v>
      </c>
      <c r="M24" s="49">
        <f t="shared" si="1"/>
        <v>0.99985264671619012</v>
      </c>
      <c r="N24" s="49">
        <f t="shared" si="2"/>
        <v>0.99985377138593479</v>
      </c>
      <c r="O24" s="49">
        <f t="shared" si="3"/>
        <v>0.99985433372175592</v>
      </c>
      <c r="P24" s="49">
        <f t="shared" si="4"/>
        <v>0.9998546711235522</v>
      </c>
      <c r="Q24" s="49">
        <f t="shared" si="5"/>
        <v>0.99985489605820954</v>
      </c>
    </row>
    <row r="25" spans="1:17" ht="15">
      <c r="A25" s="46" t="s">
        <v>173</v>
      </c>
      <c r="B25" s="50">
        <f>B5*1000/B20/(SQRT(3)*B24*B6)</f>
        <v>214.86752129677006</v>
      </c>
      <c r="C25" s="46" t="s">
        <v>12</v>
      </c>
      <c r="D25" s="48" t="s">
        <v>174</v>
      </c>
      <c r="E25" s="46"/>
      <c r="F25" s="46"/>
      <c r="G25" s="46"/>
      <c r="H25" s="46"/>
      <c r="I25" s="46"/>
      <c r="J25" s="46"/>
      <c r="K25" s="46">
        <f>$B$20+8</f>
        <v>16</v>
      </c>
      <c r="L25" s="49">
        <f t="shared" si="0"/>
        <v>0.99984882285798382</v>
      </c>
      <c r="M25" s="49">
        <f t="shared" si="1"/>
        <v>0.99985242178254485</v>
      </c>
      <c r="N25" s="49">
        <f t="shared" si="2"/>
        <v>0.99985362142982259</v>
      </c>
      <c r="O25" s="49">
        <f t="shared" si="3"/>
        <v>0.99985422125454104</v>
      </c>
      <c r="P25" s="49">
        <f t="shared" si="4"/>
        <v>0.99985458114971759</v>
      </c>
      <c r="Q25" s="49">
        <f t="shared" si="5"/>
        <v>0.99985482107997914</v>
      </c>
    </row>
    <row r="26" spans="1:17" ht="15">
      <c r="A26" s="46" t="s">
        <v>175</v>
      </c>
      <c r="B26" s="50">
        <f>CEILING(B25*(1+B9)/G5,1)</f>
        <v>3</v>
      </c>
      <c r="C26" s="46" t="s">
        <v>15</v>
      </c>
      <c r="D26" s="48" t="s">
        <v>176</v>
      </c>
      <c r="E26" s="46"/>
      <c r="F26" s="46"/>
      <c r="G26" s="46"/>
      <c r="H26" s="46"/>
      <c r="I26" s="46"/>
      <c r="J26" s="46"/>
      <c r="K26" s="46">
        <f>$B$20+9</f>
        <v>17</v>
      </c>
      <c r="L26" s="49">
        <f t="shared" si="0"/>
        <v>0.99984837299423535</v>
      </c>
      <c r="M26" s="49">
        <f t="shared" si="1"/>
        <v>0.99985219684900073</v>
      </c>
      <c r="N26" s="49">
        <f t="shared" si="2"/>
        <v>0.99985347147375547</v>
      </c>
      <c r="O26" s="49">
        <f t="shared" si="3"/>
        <v>0.99985410878735148</v>
      </c>
      <c r="P26" s="49">
        <f t="shared" si="4"/>
        <v>0.9998544911758992</v>
      </c>
      <c r="Q26" s="49">
        <f t="shared" si="5"/>
        <v>0.99985474610176006</v>
      </c>
    </row>
    <row r="27" spans="1:17" ht="15">
      <c r="A27" s="46" t="s">
        <v>177</v>
      </c>
      <c r="B27" s="50">
        <f>IFERROR(MAX(B26,INDEX(A48:A67,MATCH(1,H48:H67,0))),"No thermal solution")</f>
        <v>3</v>
      </c>
      <c r="C27" s="46" t="s">
        <v>15</v>
      </c>
      <c r="D27" s="48" t="s">
        <v>178</v>
      </c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</row>
    <row r="28" spans="1:17" ht="15">
      <c r="A28" s="46" t="s">
        <v>179</v>
      </c>
      <c r="B28" s="50">
        <f>IF(B13&gt;0,B13,B27)</f>
        <v>3</v>
      </c>
      <c r="C28" s="46" t="s">
        <v>15</v>
      </c>
      <c r="D28" s="48" t="s">
        <v>164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</row>
    <row r="29" spans="1:17" ht="15">
      <c r="A29" s="46" t="s">
        <v>180</v>
      </c>
      <c r="B29" s="50">
        <f>IF(ISNUMBER(B28),G6/B28,"")</f>
        <v>1.6666666666666667</v>
      </c>
      <c r="C29" s="46" t="s">
        <v>44</v>
      </c>
      <c r="D29" s="48" t="s">
        <v>181</v>
      </c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</row>
    <row r="30" spans="1:17" ht="15">
      <c r="A30" s="46" t="s">
        <v>182</v>
      </c>
      <c r="B30" s="50">
        <f>IF(ISNUMBER(B28),B20*3*B25^2*(G6/1000)/B28,"")</f>
        <v>1846.7220683287176</v>
      </c>
      <c r="C30" s="46" t="s">
        <v>28</v>
      </c>
      <c r="D30" s="48" t="s">
        <v>183</v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</row>
    <row r="31" spans="1:17" ht="15">
      <c r="A31" s="46" t="s">
        <v>184</v>
      </c>
      <c r="B31" s="50">
        <f>B20*6*((G7+G8)/1000)*(B21/G9)*(B25/G10)*(G11*1000)</f>
        <v>3094.0923066734895</v>
      </c>
      <c r="C31" s="46" t="s">
        <v>28</v>
      </c>
      <c r="D31" s="48" t="s">
        <v>185</v>
      </c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 spans="1:17" ht="15">
      <c r="A32" s="46" t="s">
        <v>186</v>
      </c>
      <c r="B32" s="50">
        <f>B20*B15</f>
        <v>0</v>
      </c>
      <c r="C32" s="46" t="s">
        <v>28</v>
      </c>
      <c r="D32" s="48" t="s">
        <v>187</v>
      </c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1:17" ht="15">
      <c r="A33" s="46" t="s">
        <v>69</v>
      </c>
      <c r="B33" s="50">
        <f>SUM(B30:B32)</f>
        <v>4940.8143750022073</v>
      </c>
      <c r="C33" s="46" t="s">
        <v>28</v>
      </c>
      <c r="D33" s="48" t="s">
        <v>188</v>
      </c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</row>
    <row r="34" spans="1:17" ht="15">
      <c r="A34" s="46" t="s">
        <v>189</v>
      </c>
      <c r="B34" s="50">
        <f>B5+B33/1000</f>
        <v>304.94081437500222</v>
      </c>
      <c r="C34" s="46" t="s">
        <v>20</v>
      </c>
      <c r="D34" s="48" t="s">
        <v>190</v>
      </c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  <row r="35" spans="1:17" ht="15">
      <c r="A35" s="46" t="s">
        <v>5</v>
      </c>
      <c r="B35" s="51">
        <f>B5/B34</f>
        <v>0.98379746448461236</v>
      </c>
      <c r="C35" s="46" t="s">
        <v>73</v>
      </c>
      <c r="D35" s="48" t="s">
        <v>191</v>
      </c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</row>
    <row r="36" spans="1:17" ht="15">
      <c r="A36" s="46" t="s">
        <v>192</v>
      </c>
      <c r="B36" s="50">
        <f>IF(ISNUMBER(B28),B10 + (B30/B20+B31/B20+B32/B20)*G14 + ((B30+B31)/B20/(6*B28))*(G12+G13),"")</f>
        <v>103.62498671876503</v>
      </c>
      <c r="C36" s="46" t="s">
        <v>130</v>
      </c>
      <c r="D36" s="48" t="s">
        <v>193</v>
      </c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</row>
    <row r="37" spans="1:17" ht="15">
      <c r="A37" s="46" t="s">
        <v>194</v>
      </c>
      <c r="B37" s="52" t="str">
        <f>IF(AND(ISNUMBER(B36),B36&lt;=B11),"OK","Check thermal")</f>
        <v>OK</v>
      </c>
      <c r="C37" s="46"/>
      <c r="D37" s="48" t="s">
        <v>195</v>
      </c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</row>
    <row r="38" spans="1:17" ht="28.5">
      <c r="A38" s="46" t="s">
        <v>196</v>
      </c>
      <c r="B38" s="52" t="str">
        <f>IF(AND(ISNUMBER(B28),B25*(1+B9)/B28&lt;=G5),"OK","Increase Np")</f>
        <v>OK</v>
      </c>
      <c r="C38" s="46"/>
      <c r="D38" s="48" t="s">
        <v>197</v>
      </c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</row>
    <row r="39" spans="1:17" ht="15">
      <c r="A39" s="46"/>
      <c r="B39" s="52"/>
      <c r="C39" s="46"/>
      <c r="D39" s="48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</row>
    <row r="40" spans="1:17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</row>
    <row r="41" spans="1:17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</row>
    <row r="42" spans="1:17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</row>
    <row r="43" spans="1:17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</row>
    <row r="44" spans="1:17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</row>
    <row r="45" spans="1:17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</row>
    <row r="46" spans="1:17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</row>
    <row r="47" spans="1:17" ht="15">
      <c r="A47" s="40" t="s">
        <v>198</v>
      </c>
      <c r="B47" s="40" t="s">
        <v>199</v>
      </c>
      <c r="C47" s="40" t="s">
        <v>200</v>
      </c>
      <c r="D47" s="40" t="s">
        <v>201</v>
      </c>
      <c r="E47" s="40" t="s">
        <v>202</v>
      </c>
      <c r="F47" s="40" t="s">
        <v>203</v>
      </c>
      <c r="G47" s="40" t="s">
        <v>204</v>
      </c>
      <c r="H47" s="40" t="s">
        <v>205</v>
      </c>
      <c r="I47" s="46"/>
      <c r="J47" s="46"/>
      <c r="K47" s="46"/>
      <c r="L47" s="46"/>
      <c r="M47" s="46"/>
      <c r="N47" s="46"/>
      <c r="O47" s="46"/>
      <c r="P47" s="46"/>
      <c r="Q47" s="46"/>
    </row>
    <row r="48" spans="1:17">
      <c r="A48" s="53">
        <v>1</v>
      </c>
      <c r="B48" s="54">
        <f t="shared" ref="B48:B67" si="6">$B$25/A48</f>
        <v>214.86752129677006</v>
      </c>
      <c r="C48" s="54">
        <f t="shared" ref="C48:C67" si="7">$G$6/A48</f>
        <v>5</v>
      </c>
      <c r="D48" s="54">
        <f t="shared" ref="D48:D67" si="8">3*$B$25^2*($G$6/1000)/A48</f>
        <v>692.52077562326906</v>
      </c>
      <c r="E48" s="54">
        <f t="shared" ref="E48:E67" si="9">6*(($G$7+$G$8)/1000)*($B$21/$G$9)*($B$25/$G$10)*($G$11*1000)</f>
        <v>386.76153833418618</v>
      </c>
      <c r="F48" s="54">
        <f t="shared" ref="F48:F67" si="10">$B$15</f>
        <v>0</v>
      </c>
      <c r="G48" s="54">
        <f t="shared" ref="G48:G67" si="11">$B$10 + (D48+E48+F48)*$G$14 + ((D48+E48)/(6*A48))*($G$12+$G$13)</f>
        <v>138.35454655063882</v>
      </c>
      <c r="H48" s="53">
        <f t="shared" ref="H48:H67" si="12">IF(AND(A48&gt;=$B$26,G48&lt;=$B$11),1,0)</f>
        <v>0</v>
      </c>
      <c r="I48" s="46"/>
      <c r="J48" s="46"/>
      <c r="K48" s="46"/>
      <c r="L48" s="46"/>
      <c r="M48" s="46"/>
      <c r="N48" s="46"/>
      <c r="O48" s="46"/>
      <c r="P48" s="46"/>
      <c r="Q48" s="46"/>
    </row>
    <row r="49" spans="1:17">
      <c r="A49" s="53">
        <v>2</v>
      </c>
      <c r="B49" s="54">
        <f t="shared" si="6"/>
        <v>107.43376064838503</v>
      </c>
      <c r="C49" s="54">
        <f t="shared" si="7"/>
        <v>2.5</v>
      </c>
      <c r="D49" s="54">
        <f t="shared" si="8"/>
        <v>346.26038781163453</v>
      </c>
      <c r="E49" s="54">
        <f t="shared" si="9"/>
        <v>386.76153833418618</v>
      </c>
      <c r="F49" s="54">
        <f t="shared" si="10"/>
        <v>0</v>
      </c>
      <c r="G49" s="54">
        <f t="shared" si="11"/>
        <v>111.53790914826318</v>
      </c>
      <c r="H49" s="53">
        <f t="shared" si="12"/>
        <v>0</v>
      </c>
      <c r="I49" s="46"/>
      <c r="J49" s="46"/>
      <c r="K49" s="46"/>
      <c r="L49" s="46"/>
      <c r="M49" s="46"/>
      <c r="N49" s="46"/>
      <c r="O49" s="46"/>
      <c r="P49" s="46"/>
      <c r="Q49" s="46"/>
    </row>
    <row r="50" spans="1:17">
      <c r="A50" s="53">
        <v>3</v>
      </c>
      <c r="B50" s="54">
        <f t="shared" si="6"/>
        <v>71.62250709892335</v>
      </c>
      <c r="C50" s="54">
        <f t="shared" si="7"/>
        <v>1.6666666666666667</v>
      </c>
      <c r="D50" s="54">
        <f t="shared" si="8"/>
        <v>230.8402585410897</v>
      </c>
      <c r="E50" s="54">
        <f t="shared" si="9"/>
        <v>386.76153833418618</v>
      </c>
      <c r="F50" s="54">
        <f t="shared" si="10"/>
        <v>0</v>
      </c>
      <c r="G50" s="54">
        <f t="shared" si="11"/>
        <v>103.62498671876503</v>
      </c>
      <c r="H50" s="53">
        <f t="shared" si="12"/>
        <v>1</v>
      </c>
      <c r="I50" s="46"/>
      <c r="J50" s="46"/>
      <c r="K50" s="46"/>
      <c r="L50" s="46"/>
      <c r="M50" s="46"/>
      <c r="N50" s="46"/>
      <c r="O50" s="46"/>
      <c r="P50" s="46"/>
      <c r="Q50" s="46"/>
    </row>
    <row r="51" spans="1:17">
      <c r="A51" s="53">
        <v>4</v>
      </c>
      <c r="B51" s="54">
        <f t="shared" si="6"/>
        <v>53.716880324192516</v>
      </c>
      <c r="C51" s="54">
        <f t="shared" si="7"/>
        <v>1.25</v>
      </c>
      <c r="D51" s="54">
        <f t="shared" si="8"/>
        <v>173.13019390581726</v>
      </c>
      <c r="E51" s="54">
        <f t="shared" si="9"/>
        <v>386.76153833418618</v>
      </c>
      <c r="F51" s="54">
        <f t="shared" si="10"/>
        <v>0</v>
      </c>
      <c r="G51" s="54">
        <f t="shared" si="11"/>
        <v>99.860892386133514</v>
      </c>
      <c r="H51" s="53">
        <f t="shared" si="12"/>
        <v>1</v>
      </c>
      <c r="I51" s="46"/>
      <c r="J51" s="46"/>
      <c r="K51" s="46"/>
      <c r="L51" s="46"/>
      <c r="M51" s="46"/>
      <c r="N51" s="46"/>
      <c r="O51" s="46"/>
      <c r="P51" s="46"/>
      <c r="Q51" s="46"/>
    </row>
    <row r="52" spans="1:17">
      <c r="A52" s="53">
        <v>5</v>
      </c>
      <c r="B52" s="54">
        <f t="shared" si="6"/>
        <v>42.973504259354016</v>
      </c>
      <c r="C52" s="54">
        <f t="shared" si="7"/>
        <v>1</v>
      </c>
      <c r="D52" s="54">
        <f t="shared" si="8"/>
        <v>138.50415512465381</v>
      </c>
      <c r="E52" s="54">
        <f t="shared" si="9"/>
        <v>386.76153833418618</v>
      </c>
      <c r="F52" s="54">
        <f t="shared" si="10"/>
        <v>0</v>
      </c>
      <c r="G52" s="54">
        <f t="shared" si="11"/>
        <v>97.663993188832251</v>
      </c>
      <c r="H52" s="53">
        <f t="shared" si="12"/>
        <v>1</v>
      </c>
      <c r="I52" s="46"/>
      <c r="J52" s="46"/>
      <c r="K52" s="46"/>
      <c r="L52" s="46"/>
      <c r="M52" s="46"/>
      <c r="N52" s="46"/>
      <c r="O52" s="46"/>
      <c r="P52" s="46"/>
      <c r="Q52" s="46"/>
    </row>
    <row r="53" spans="1:17">
      <c r="A53" s="53">
        <v>6</v>
      </c>
      <c r="B53" s="54">
        <f t="shared" si="6"/>
        <v>35.811253549461675</v>
      </c>
      <c r="C53" s="54">
        <f t="shared" si="7"/>
        <v>0.83333333333333337</v>
      </c>
      <c r="D53" s="54">
        <f t="shared" si="8"/>
        <v>115.42012927054485</v>
      </c>
      <c r="E53" s="54">
        <f t="shared" si="9"/>
        <v>386.76153833418618</v>
      </c>
      <c r="F53" s="54">
        <f t="shared" si="10"/>
        <v>0</v>
      </c>
      <c r="G53" s="54">
        <f t="shared" si="11"/>
        <v>96.225042641580401</v>
      </c>
      <c r="H53" s="53">
        <f t="shared" si="12"/>
        <v>1</v>
      </c>
      <c r="I53" s="46"/>
      <c r="J53" s="46"/>
      <c r="K53" s="46"/>
      <c r="L53" s="46"/>
      <c r="M53" s="46"/>
      <c r="N53" s="46"/>
      <c r="O53" s="46"/>
      <c r="P53" s="46"/>
      <c r="Q53" s="46"/>
    </row>
    <row r="54" spans="1:17">
      <c r="A54" s="53">
        <v>7</v>
      </c>
      <c r="B54" s="54">
        <f t="shared" si="6"/>
        <v>30.695360185252866</v>
      </c>
      <c r="C54" s="54">
        <f t="shared" si="7"/>
        <v>0.7142857142857143</v>
      </c>
      <c r="D54" s="54">
        <f t="shared" si="8"/>
        <v>98.931539374752717</v>
      </c>
      <c r="E54" s="54">
        <f t="shared" si="9"/>
        <v>386.76153833418618</v>
      </c>
      <c r="F54" s="54">
        <f t="shared" si="10"/>
        <v>0</v>
      </c>
      <c r="G54" s="54">
        <f t="shared" si="11"/>
        <v>95.209783557273497</v>
      </c>
      <c r="H54" s="53">
        <f t="shared" si="12"/>
        <v>1</v>
      </c>
      <c r="I54" s="46"/>
      <c r="J54" s="46"/>
      <c r="K54" s="46"/>
      <c r="L54" s="46"/>
      <c r="M54" s="46"/>
      <c r="N54" s="46"/>
      <c r="O54" s="46"/>
      <c r="P54" s="46"/>
      <c r="Q54" s="46"/>
    </row>
    <row r="55" spans="1:17">
      <c r="A55" s="53">
        <v>8</v>
      </c>
      <c r="B55" s="54">
        <f t="shared" si="6"/>
        <v>26.858440162096258</v>
      </c>
      <c r="C55" s="54">
        <f t="shared" si="7"/>
        <v>0.625</v>
      </c>
      <c r="D55" s="54">
        <f t="shared" si="8"/>
        <v>86.565096952908632</v>
      </c>
      <c r="E55" s="54">
        <f t="shared" si="9"/>
        <v>386.76153833418618</v>
      </c>
      <c r="F55" s="54">
        <f t="shared" si="10"/>
        <v>0</v>
      </c>
      <c r="G55" s="54">
        <f t="shared" si="11"/>
        <v>94.455209489833223</v>
      </c>
      <c r="H55" s="53">
        <f t="shared" si="12"/>
        <v>1</v>
      </c>
      <c r="I55" s="46"/>
      <c r="J55" s="46"/>
      <c r="K55" s="46"/>
      <c r="L55" s="46"/>
      <c r="M55" s="46"/>
      <c r="N55" s="46"/>
      <c r="O55" s="46"/>
      <c r="P55" s="46"/>
      <c r="Q55" s="46"/>
    </row>
    <row r="56" spans="1:17">
      <c r="A56" s="53">
        <v>9</v>
      </c>
      <c r="B56" s="54">
        <f t="shared" si="6"/>
        <v>23.87416903297445</v>
      </c>
      <c r="C56" s="54">
        <f t="shared" si="7"/>
        <v>0.55555555555555558</v>
      </c>
      <c r="D56" s="54">
        <f t="shared" si="8"/>
        <v>76.946752847029899</v>
      </c>
      <c r="E56" s="54">
        <f t="shared" si="9"/>
        <v>386.76153833418618</v>
      </c>
      <c r="F56" s="54">
        <f t="shared" si="10"/>
        <v>0</v>
      </c>
      <c r="G56" s="54">
        <f t="shared" si="11"/>
        <v>93.872389805255196</v>
      </c>
      <c r="H56" s="53">
        <f t="shared" si="12"/>
        <v>1</v>
      </c>
      <c r="I56" s="46"/>
      <c r="J56" s="46"/>
      <c r="K56" s="46"/>
      <c r="L56" s="46"/>
      <c r="M56" s="46"/>
      <c r="N56" s="46"/>
      <c r="O56" s="46"/>
      <c r="P56" s="46"/>
      <c r="Q56" s="46"/>
    </row>
    <row r="57" spans="1:17">
      <c r="A57" s="53">
        <v>10</v>
      </c>
      <c r="B57" s="54">
        <f t="shared" si="6"/>
        <v>21.486752129677008</v>
      </c>
      <c r="C57" s="54">
        <f t="shared" si="7"/>
        <v>0.5</v>
      </c>
      <c r="D57" s="54">
        <f t="shared" si="8"/>
        <v>69.252077562326903</v>
      </c>
      <c r="E57" s="54">
        <f t="shared" si="9"/>
        <v>386.76153833418618</v>
      </c>
      <c r="F57" s="54">
        <f t="shared" si="10"/>
        <v>0</v>
      </c>
      <c r="G57" s="54">
        <f t="shared" si="11"/>
        <v>93.408698949354331</v>
      </c>
      <c r="H57" s="53">
        <f t="shared" si="12"/>
        <v>1</v>
      </c>
      <c r="I57" s="46"/>
      <c r="J57" s="46"/>
      <c r="K57" s="46"/>
      <c r="L57" s="46"/>
      <c r="M57" s="46"/>
      <c r="N57" s="46"/>
      <c r="O57" s="46"/>
      <c r="P57" s="46"/>
      <c r="Q57" s="46"/>
    </row>
    <row r="58" spans="1:17">
      <c r="A58" s="53">
        <v>11</v>
      </c>
      <c r="B58" s="54">
        <f t="shared" si="6"/>
        <v>19.533411026979095</v>
      </c>
      <c r="C58" s="54">
        <f t="shared" si="7"/>
        <v>0.45454545454545453</v>
      </c>
      <c r="D58" s="54">
        <f t="shared" si="8"/>
        <v>62.956434147569915</v>
      </c>
      <c r="E58" s="54">
        <f t="shared" si="9"/>
        <v>386.76153833418618</v>
      </c>
      <c r="F58" s="54">
        <f t="shared" si="10"/>
        <v>0</v>
      </c>
      <c r="G58" s="54">
        <f t="shared" si="11"/>
        <v>93.031011318005085</v>
      </c>
      <c r="H58" s="53">
        <f t="shared" si="12"/>
        <v>1</v>
      </c>
      <c r="I58" s="46"/>
      <c r="J58" s="46"/>
      <c r="K58" s="46"/>
      <c r="L58" s="46"/>
      <c r="M58" s="46"/>
      <c r="N58" s="46"/>
      <c r="O58" s="46"/>
      <c r="P58" s="46"/>
      <c r="Q58" s="46"/>
    </row>
    <row r="59" spans="1:17">
      <c r="A59" s="53">
        <v>12</v>
      </c>
      <c r="B59" s="54">
        <f t="shared" si="6"/>
        <v>17.905626774730838</v>
      </c>
      <c r="C59" s="54">
        <f t="shared" si="7"/>
        <v>0.41666666666666669</v>
      </c>
      <c r="D59" s="54">
        <f t="shared" si="8"/>
        <v>57.710064635272424</v>
      </c>
      <c r="E59" s="54">
        <f t="shared" si="9"/>
        <v>386.76153833418618</v>
      </c>
      <c r="F59" s="54">
        <f t="shared" si="10"/>
        <v>0</v>
      </c>
      <c r="G59" s="54">
        <f t="shared" si="11"/>
        <v>92.717437485105663</v>
      </c>
      <c r="H59" s="53">
        <f t="shared" si="12"/>
        <v>1</v>
      </c>
      <c r="I59" s="46"/>
      <c r="J59" s="46"/>
      <c r="K59" s="46"/>
      <c r="L59" s="46"/>
      <c r="M59" s="46"/>
      <c r="N59" s="46"/>
      <c r="O59" s="46"/>
      <c r="P59" s="46"/>
      <c r="Q59" s="46"/>
    </row>
    <row r="60" spans="1:17">
      <c r="A60" s="53">
        <v>13</v>
      </c>
      <c r="B60" s="54">
        <f t="shared" si="6"/>
        <v>16.528270868982311</v>
      </c>
      <c r="C60" s="54">
        <f t="shared" si="7"/>
        <v>0.38461538461538464</v>
      </c>
      <c r="D60" s="54">
        <f t="shared" si="8"/>
        <v>53.270828894097619</v>
      </c>
      <c r="E60" s="54">
        <f t="shared" si="9"/>
        <v>386.76153833418618</v>
      </c>
      <c r="F60" s="54">
        <f t="shared" si="10"/>
        <v>0</v>
      </c>
      <c r="G60" s="54">
        <f t="shared" si="11"/>
        <v>92.45293360985346</v>
      </c>
      <c r="H60" s="53">
        <f t="shared" si="12"/>
        <v>1</v>
      </c>
      <c r="I60" s="46"/>
      <c r="J60" s="46"/>
      <c r="K60" s="46"/>
      <c r="L60" s="46"/>
      <c r="M60" s="46"/>
      <c r="N60" s="46"/>
      <c r="O60" s="46"/>
      <c r="P60" s="46"/>
      <c r="Q60" s="46"/>
    </row>
    <row r="61" spans="1:17">
      <c r="A61" s="53">
        <v>14</v>
      </c>
      <c r="B61" s="54">
        <f t="shared" si="6"/>
        <v>15.347680092626433</v>
      </c>
      <c r="C61" s="54">
        <f t="shared" si="7"/>
        <v>0.35714285714285715</v>
      </c>
      <c r="D61" s="54">
        <f t="shared" si="8"/>
        <v>49.465769687376358</v>
      </c>
      <c r="E61" s="54">
        <f t="shared" si="9"/>
        <v>386.76153833418618</v>
      </c>
      <c r="F61" s="54">
        <f t="shared" si="10"/>
        <v>0</v>
      </c>
      <c r="G61" s="54">
        <f t="shared" si="11"/>
        <v>92.226819980146274</v>
      </c>
      <c r="H61" s="53">
        <f t="shared" si="12"/>
        <v>1</v>
      </c>
      <c r="I61" s="46"/>
      <c r="J61" s="46"/>
      <c r="K61" s="46"/>
      <c r="L61" s="46"/>
      <c r="M61" s="46"/>
      <c r="N61" s="46"/>
      <c r="O61" s="46"/>
      <c r="P61" s="46"/>
      <c r="Q61" s="46"/>
    </row>
    <row r="62" spans="1:17">
      <c r="A62" s="53">
        <v>15</v>
      </c>
      <c r="B62" s="54">
        <f t="shared" si="6"/>
        <v>14.324501419784671</v>
      </c>
      <c r="C62" s="54">
        <f t="shared" si="7"/>
        <v>0.33333333333333331</v>
      </c>
      <c r="D62" s="54">
        <f t="shared" si="8"/>
        <v>46.168051708217938</v>
      </c>
      <c r="E62" s="54">
        <f t="shared" si="9"/>
        <v>386.76153833418618</v>
      </c>
      <c r="F62" s="54">
        <f t="shared" si="10"/>
        <v>0</v>
      </c>
      <c r="G62" s="54">
        <f t="shared" si="11"/>
        <v>92.031305804380111</v>
      </c>
      <c r="H62" s="53">
        <f t="shared" si="12"/>
        <v>1</v>
      </c>
      <c r="I62" s="46"/>
      <c r="J62" s="46"/>
      <c r="K62" s="46"/>
      <c r="L62" s="46"/>
      <c r="M62" s="46"/>
      <c r="N62" s="46"/>
      <c r="O62" s="46"/>
      <c r="P62" s="46"/>
      <c r="Q62" s="46"/>
    </row>
    <row r="63" spans="1:17">
      <c r="A63" s="53">
        <v>16</v>
      </c>
      <c r="B63" s="54">
        <f t="shared" si="6"/>
        <v>13.429220081048129</v>
      </c>
      <c r="C63" s="54">
        <f t="shared" si="7"/>
        <v>0.3125</v>
      </c>
      <c r="D63" s="54">
        <f t="shared" si="8"/>
        <v>43.282548476454316</v>
      </c>
      <c r="E63" s="54">
        <f t="shared" si="9"/>
        <v>386.76153833418618</v>
      </c>
      <c r="F63" s="54">
        <f t="shared" si="10"/>
        <v>0</v>
      </c>
      <c r="G63" s="54">
        <f t="shared" si="11"/>
        <v>91.860574412874229</v>
      </c>
      <c r="H63" s="53">
        <f t="shared" si="12"/>
        <v>1</v>
      </c>
      <c r="I63" s="46"/>
      <c r="J63" s="46"/>
      <c r="K63" s="46"/>
      <c r="L63" s="46"/>
      <c r="M63" s="46"/>
      <c r="N63" s="46"/>
      <c r="O63" s="46"/>
      <c r="P63" s="46"/>
      <c r="Q63" s="46"/>
    </row>
    <row r="64" spans="1:17">
      <c r="A64" s="53">
        <v>17</v>
      </c>
      <c r="B64" s="54">
        <f t="shared" si="6"/>
        <v>12.639265958633533</v>
      </c>
      <c r="C64" s="54">
        <f t="shared" si="7"/>
        <v>0.29411764705882354</v>
      </c>
      <c r="D64" s="54">
        <f t="shared" si="8"/>
        <v>40.736516213133477</v>
      </c>
      <c r="E64" s="54">
        <f t="shared" si="9"/>
        <v>386.76153833418618</v>
      </c>
      <c r="F64" s="54">
        <f t="shared" si="10"/>
        <v>0</v>
      </c>
      <c r="G64" s="54">
        <f t="shared" si="11"/>
        <v>91.710195319167809</v>
      </c>
      <c r="H64" s="53">
        <f t="shared" si="12"/>
        <v>1</v>
      </c>
      <c r="I64" s="46"/>
      <c r="J64" s="46"/>
      <c r="K64" s="46"/>
      <c r="L64" s="46"/>
      <c r="M64" s="46"/>
      <c r="N64" s="46"/>
      <c r="O64" s="46"/>
      <c r="P64" s="46"/>
      <c r="Q64" s="46"/>
    </row>
    <row r="65" spans="1:17">
      <c r="A65" s="53">
        <v>18</v>
      </c>
      <c r="B65" s="54">
        <f t="shared" si="6"/>
        <v>11.937084516487225</v>
      </c>
      <c r="C65" s="54">
        <f t="shared" si="7"/>
        <v>0.27777777777777779</v>
      </c>
      <c r="D65" s="54">
        <f t="shared" si="8"/>
        <v>38.473376423514949</v>
      </c>
      <c r="E65" s="54">
        <f t="shared" si="9"/>
        <v>386.76153833418618</v>
      </c>
      <c r="F65" s="54">
        <f t="shared" si="10"/>
        <v>0</v>
      </c>
      <c r="G65" s="54">
        <f t="shared" si="11"/>
        <v>91.576734563631504</v>
      </c>
      <c r="H65" s="53">
        <f t="shared" si="12"/>
        <v>1</v>
      </c>
      <c r="I65" s="46"/>
      <c r="J65" s="46"/>
      <c r="K65" s="46"/>
      <c r="L65" s="46"/>
      <c r="M65" s="46"/>
      <c r="N65" s="46"/>
      <c r="O65" s="46"/>
      <c r="P65" s="46"/>
      <c r="Q65" s="46"/>
    </row>
    <row r="66" spans="1:17">
      <c r="A66" s="53">
        <v>19</v>
      </c>
      <c r="B66" s="54">
        <f t="shared" si="6"/>
        <v>11.308816910356319</v>
      </c>
      <c r="C66" s="54">
        <f t="shared" si="7"/>
        <v>0.26315789473684209</v>
      </c>
      <c r="D66" s="54">
        <f t="shared" si="8"/>
        <v>36.448461874908901</v>
      </c>
      <c r="E66" s="54">
        <f t="shared" si="9"/>
        <v>386.76153833418618</v>
      </c>
      <c r="F66" s="54">
        <f t="shared" si="10"/>
        <v>0</v>
      </c>
      <c r="G66" s="54">
        <f t="shared" si="11"/>
        <v>91.457489484285702</v>
      </c>
      <c r="H66" s="53">
        <f t="shared" si="12"/>
        <v>1</v>
      </c>
      <c r="I66" s="46"/>
      <c r="J66" s="46"/>
      <c r="K66" s="46"/>
      <c r="L66" s="46"/>
      <c r="M66" s="46"/>
      <c r="N66" s="46"/>
      <c r="O66" s="46"/>
      <c r="P66" s="46"/>
      <c r="Q66" s="46"/>
    </row>
    <row r="67" spans="1:17">
      <c r="A67" s="53">
        <v>20</v>
      </c>
      <c r="B67" s="54">
        <f t="shared" si="6"/>
        <v>10.743376064838504</v>
      </c>
      <c r="C67" s="54">
        <f t="shared" si="7"/>
        <v>0.25</v>
      </c>
      <c r="D67" s="54">
        <f t="shared" si="8"/>
        <v>34.626038781163452</v>
      </c>
      <c r="E67" s="54">
        <f t="shared" si="9"/>
        <v>386.76153833418618</v>
      </c>
      <c r="F67" s="54">
        <f t="shared" si="10"/>
        <v>0</v>
      </c>
      <c r="G67" s="54">
        <f t="shared" si="11"/>
        <v>91.350303907177718</v>
      </c>
      <c r="H67" s="53">
        <f t="shared" si="12"/>
        <v>1</v>
      </c>
      <c r="I67" s="46"/>
      <c r="J67" s="46"/>
      <c r="K67" s="46"/>
      <c r="L67" s="46"/>
      <c r="M67" s="46"/>
      <c r="N67" s="46"/>
      <c r="O67" s="46"/>
      <c r="P67" s="46"/>
      <c r="Q67" s="46"/>
    </row>
  </sheetData>
  <mergeCells count="2">
    <mergeCell ref="A1:J1"/>
    <mergeCell ref="K15:Q15"/>
  </mergeCells>
  <conditionalFormatting sqref="B38:B39">
    <cfRule type="expression" dxfId="2" priority="1">
      <formula>LEFT(B38,2)="OK"</formula>
    </cfRule>
    <cfRule type="expression" dxfId="1" priority="2">
      <formula>LEFT(B38,2)&lt;&gt;"OK"</formula>
    </cfRule>
  </conditionalFormatting>
  <conditionalFormatting sqref="L17:Q26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3"/>
  <sheetViews>
    <sheetView topLeftCell="A90" workbookViewId="0">
      <selection sqref="A1:H1"/>
    </sheetView>
  </sheetViews>
  <sheetFormatPr defaultRowHeight="14.25"/>
  <cols>
    <col min="1" max="8" width="16" customWidth="1"/>
  </cols>
  <sheetData>
    <row r="1" spans="1:8" ht="19.5">
      <c r="A1" s="66" t="s">
        <v>206</v>
      </c>
      <c r="B1" s="57"/>
      <c r="C1" s="57"/>
      <c r="D1" s="57"/>
      <c r="E1" s="57"/>
      <c r="F1" s="57"/>
      <c r="G1" s="57"/>
      <c r="H1" s="57"/>
    </row>
    <row r="3" spans="1:8" ht="15">
      <c r="A3" s="39" t="s">
        <v>207</v>
      </c>
      <c r="B3" s="39" t="s">
        <v>208</v>
      </c>
      <c r="C3" s="39" t="s">
        <v>209</v>
      </c>
      <c r="D3" s="39" t="s">
        <v>210</v>
      </c>
      <c r="E3" s="39" t="s">
        <v>82</v>
      </c>
      <c r="F3" s="39" t="s">
        <v>5</v>
      </c>
      <c r="G3" s="39" t="s">
        <v>211</v>
      </c>
      <c r="H3" s="39" t="s">
        <v>212</v>
      </c>
    </row>
    <row r="4" spans="1:8">
      <c r="A4" s="43">
        <v>1</v>
      </c>
      <c r="B4" s="43">
        <v>1</v>
      </c>
      <c r="C4" s="44">
        <f>'Device Selection'!$B$4/A4</f>
        <v>1200</v>
      </c>
      <c r="D4" s="44">
        <f>'Device Selection'!$B$5*1000/A4/(SQRT(3)*('Device Selection'!$B$7*(C4)/SQRT(2))*'Device Selection'!$B$6)</f>
        <v>214.86752129677006</v>
      </c>
      <c r="E4" s="44">
        <f>A4*3*D4^2*('Device Selection'!$G$6/1000)/B4+A4*6*(('Device Selection'!$G$7+'Device Selection'!$G$8)/1000)*(C4/'Device Selection'!$G$9)*(D4/'Device Selection'!$G$10)*('Device Selection'!$G$11*1000)+A4*'Device Selection'!$B$15</f>
        <v>3786.6130822967584</v>
      </c>
      <c r="F4" s="45">
        <f>'Device Selection'!$B$5/('Device Selection'!$B$5+E4/1000)</f>
        <v>0.98753528654907863</v>
      </c>
      <c r="G4" s="44">
        <f>'Device Selection'!$B$10 + (E4/A4)*'Device Selection'!$G$14 + ((E4/A4-'Device Selection'!$B$15)/(6*B4))*('Device Selection'!$G$12+'Device Selection'!$G$13)</f>
        <v>309.81882854546137</v>
      </c>
      <c r="H4" s="55" t="str">
        <f>IF(AND(C4*(1+'Device Selection'!$B$8)&lt;='Device Selection'!$G$4,D4*(1+'Device Selection'!$B$9)/B4&lt;='Device Selection'!$G$5,G4&lt;='Device Selection'!$B$11),"OK","")</f>
        <v/>
      </c>
    </row>
    <row r="5" spans="1:8">
      <c r="A5" s="43">
        <v>1</v>
      </c>
      <c r="B5" s="43">
        <v>2</v>
      </c>
      <c r="C5" s="44">
        <f>'Device Selection'!$B$4/A5</f>
        <v>1200</v>
      </c>
      <c r="D5" s="44">
        <f>'Device Selection'!$B$5*1000/A5/(SQRT(3)*('Device Selection'!$B$7*(C5)/SQRT(2))*'Device Selection'!$B$6)</f>
        <v>214.86752129677006</v>
      </c>
      <c r="E5" s="44">
        <f>A5*3*D5^2*('Device Selection'!$G$6/1000)/B5+A5*6*(('Device Selection'!$G$7+'Device Selection'!$G$8)/1000)*(C5/'Device Selection'!$G$9)*(D5/'Device Selection'!$G$10)*('Device Selection'!$G$11*1000)+A5*'Device Selection'!$B$15</f>
        <v>3440.3526944851242</v>
      </c>
      <c r="F5" s="45">
        <f>'Device Selection'!$B$5/('Device Selection'!$B$5+E5/1000)</f>
        <v>0.98866217803948775</v>
      </c>
      <c r="G5" s="44">
        <f>'Device Selection'!$B$10 + (E5/A5)*'Device Selection'!$G$14 + ((E5/A5-'Device Selection'!$B$15)/(6*B5))*('Device Selection'!$G$12+'Device Selection'!$G$13)</f>
        <v>264.95331935415703</v>
      </c>
      <c r="H5" s="55" t="str">
        <f>IF(AND(C5*(1+'Device Selection'!$B$8)&lt;='Device Selection'!$G$4,D5*(1+'Device Selection'!$B$9)/B5&lt;='Device Selection'!$G$5,G5&lt;='Device Selection'!$B$11),"OK","")</f>
        <v/>
      </c>
    </row>
    <row r="6" spans="1:8">
      <c r="A6" s="43">
        <v>1</v>
      </c>
      <c r="B6" s="43">
        <v>3</v>
      </c>
      <c r="C6" s="44">
        <f>'Device Selection'!$B$4/A6</f>
        <v>1200</v>
      </c>
      <c r="D6" s="44">
        <f>'Device Selection'!$B$5*1000/A6/(SQRT(3)*('Device Selection'!$B$7*(C6)/SQRT(2))*'Device Selection'!$B$6)</f>
        <v>214.86752129677006</v>
      </c>
      <c r="E6" s="44">
        <f>A6*3*D6^2*('Device Selection'!$G$6/1000)/B6+A6*6*(('Device Selection'!$G$7+'Device Selection'!$G$8)/1000)*(C6/'Device Selection'!$G$9)*(D6/'Device Selection'!$G$10)*('Device Selection'!$G$11*1000)+A6*'Device Selection'!$B$15</f>
        <v>3324.932565214579</v>
      </c>
      <c r="F6" s="45">
        <f>'Device Selection'!$B$5/('Device Selection'!$B$5+E6/1000)</f>
        <v>0.98903838027063695</v>
      </c>
      <c r="G6" s="44">
        <f>'Device Selection'!$B$10 + (E6/A6)*'Device Selection'!$G$14 + ((E6/A6-'Device Selection'!$B$15)/(6*B6))*('Device Selection'!$G$12+'Device Selection'!$G$13)</f>
        <v>251.02410632834932</v>
      </c>
      <c r="H6" s="55" t="str">
        <f>IF(AND(C6*(1+'Device Selection'!$B$8)&lt;='Device Selection'!$G$4,D6*(1+'Device Selection'!$B$9)/B6&lt;='Device Selection'!$G$5,G6&lt;='Device Selection'!$B$11),"OK","")</f>
        <v/>
      </c>
    </row>
    <row r="7" spans="1:8">
      <c r="A7" s="43">
        <v>1</v>
      </c>
      <c r="B7" s="43">
        <v>4</v>
      </c>
      <c r="C7" s="44">
        <f>'Device Selection'!$B$4/A7</f>
        <v>1200</v>
      </c>
      <c r="D7" s="44">
        <f>'Device Selection'!$B$5*1000/A7/(SQRT(3)*('Device Selection'!$B$7*(C7)/SQRT(2))*'Device Selection'!$B$6)</f>
        <v>214.86752129677006</v>
      </c>
      <c r="E7" s="44">
        <f>A7*3*D7^2*('Device Selection'!$G$6/1000)/B7+A7*6*(('Device Selection'!$G$7+'Device Selection'!$G$8)/1000)*(C7/'Device Selection'!$G$9)*(D7/'Device Selection'!$G$10)*('Device Selection'!$G$11*1000)+A7*'Device Selection'!$B$15</f>
        <v>3267.2225005793066</v>
      </c>
      <c r="F7" s="45">
        <f>'Device Selection'!$B$5/('Device Selection'!$B$5+E7/1000)</f>
        <v>0.98922658876999792</v>
      </c>
      <c r="G7" s="44">
        <f>'Device Selection'!$B$10 + (E7/A7)*'Device Selection'!$G$14 + ((E7/A7-'Device Selection'!$B$15)/(6*B7))*('Device Selection'!$G$12+'Device Selection'!$G$13)</f>
        <v>244.25186669756303</v>
      </c>
      <c r="H7" s="55" t="str">
        <f>IF(AND(C7*(1+'Device Selection'!$B$8)&lt;='Device Selection'!$G$4,D7*(1+'Device Selection'!$B$9)/B7&lt;='Device Selection'!$G$5,G7&lt;='Device Selection'!$B$11),"OK","")</f>
        <v/>
      </c>
    </row>
    <row r="8" spans="1:8">
      <c r="A8" s="43">
        <v>1</v>
      </c>
      <c r="B8" s="43">
        <v>5</v>
      </c>
      <c r="C8" s="44">
        <f>'Device Selection'!$B$4/A8</f>
        <v>1200</v>
      </c>
      <c r="D8" s="44">
        <f>'Device Selection'!$B$5*1000/A8/(SQRT(3)*('Device Selection'!$B$7*(C8)/SQRT(2))*'Device Selection'!$B$6)</f>
        <v>214.86752129677006</v>
      </c>
      <c r="E8" s="44">
        <f>A8*3*D8^2*('Device Selection'!$G$6/1000)/B8+A8*6*(('Device Selection'!$G$7+'Device Selection'!$G$8)/1000)*(C8/'Device Selection'!$G$9)*(D8/'Device Selection'!$G$10)*('Device Selection'!$G$11*1000)+A8*'Device Selection'!$B$15</f>
        <v>3232.5964617981431</v>
      </c>
      <c r="F8" s="45">
        <f>'Device Selection'!$B$5/('Device Selection'!$B$5+E8/1000)</f>
        <v>0.98933954825596926</v>
      </c>
      <c r="G8" s="44">
        <f>'Device Selection'!$B$10 + (E8/A8)*'Device Selection'!$G$14 + ((E8/A8-'Device Selection'!$B$15)/(6*B8))*('Device Selection'!$G$12+'Device Selection'!$G$13)</f>
        <v>240.2500803213689</v>
      </c>
      <c r="H8" s="55" t="str">
        <f>IF(AND(C8*(1+'Device Selection'!$B$8)&lt;='Device Selection'!$G$4,D8*(1+'Device Selection'!$B$9)/B8&lt;='Device Selection'!$G$5,G8&lt;='Device Selection'!$B$11),"OK","")</f>
        <v/>
      </c>
    </row>
    <row r="9" spans="1:8">
      <c r="A9" s="43">
        <v>1</v>
      </c>
      <c r="B9" s="43">
        <v>6</v>
      </c>
      <c r="C9" s="44">
        <f>'Device Selection'!$B$4/A9</f>
        <v>1200</v>
      </c>
      <c r="D9" s="44">
        <f>'Device Selection'!$B$5*1000/A9/(SQRT(3)*('Device Selection'!$B$7*(C9)/SQRT(2))*'Device Selection'!$B$6)</f>
        <v>214.86752129677006</v>
      </c>
      <c r="E9" s="44">
        <f>A9*3*D9^2*('Device Selection'!$G$6/1000)/B9+A9*6*(('Device Selection'!$G$7+'Device Selection'!$G$8)/1000)*(C9/'Device Selection'!$G$9)*(D9/'Device Selection'!$G$10)*('Device Selection'!$G$11*1000)+A9*'Device Selection'!$B$15</f>
        <v>3209.5124359440342</v>
      </c>
      <c r="F9" s="45">
        <f>'Device Selection'!$B$5/('Device Selection'!$B$5+E9/1000)</f>
        <v>0.98941486891305208</v>
      </c>
      <c r="G9" s="44">
        <f>'Device Selection'!$B$10 + (E9/A9)*'Device Selection'!$G$14 + ((E9/A9-'Device Selection'!$B$15)/(6*B9))*('Device Selection'!$G$12+'Device Selection'!$G$13)</f>
        <v>237.60787165485513</v>
      </c>
      <c r="H9" s="55" t="str">
        <f>IF(AND(C9*(1+'Device Selection'!$B$8)&lt;='Device Selection'!$G$4,D9*(1+'Device Selection'!$B$9)/B9&lt;='Device Selection'!$G$5,G9&lt;='Device Selection'!$B$11),"OK","")</f>
        <v/>
      </c>
    </row>
    <row r="10" spans="1:8">
      <c r="A10" s="43">
        <v>1</v>
      </c>
      <c r="B10" s="43">
        <v>7</v>
      </c>
      <c r="C10" s="44">
        <f>'Device Selection'!$B$4/A10</f>
        <v>1200</v>
      </c>
      <c r="D10" s="44">
        <f>'Device Selection'!$B$5*1000/A10/(SQRT(3)*('Device Selection'!$B$7*(C10)/SQRT(2))*'Device Selection'!$B$6)</f>
        <v>214.86752129677006</v>
      </c>
      <c r="E10" s="44">
        <f>A10*3*D10^2*('Device Selection'!$G$6/1000)/B10+A10*6*(('Device Selection'!$G$7+'Device Selection'!$G$8)/1000)*(C10/'Device Selection'!$G$9)*(D10/'Device Selection'!$G$10)*('Device Selection'!$G$11*1000)+A10*'Device Selection'!$B$15</f>
        <v>3193.0238460482424</v>
      </c>
      <c r="F10" s="45">
        <f>'Device Selection'!$B$5/('Device Selection'!$B$5+E10/1000)</f>
        <v>0.98946867640440983</v>
      </c>
      <c r="G10" s="44">
        <f>'Device Selection'!$B$10 + (E10/A10)*'Device Selection'!$G$14 + ((E10/A10-'Device Selection'!$B$15)/(6*B10))*('Device Selection'!$G$12+'Device Selection'!$G$13)</f>
        <v>235.73314248536118</v>
      </c>
      <c r="H10" s="55" t="str">
        <f>IF(AND(C10*(1+'Device Selection'!$B$8)&lt;='Device Selection'!$G$4,D10*(1+'Device Selection'!$B$9)/B10&lt;='Device Selection'!$G$5,G10&lt;='Device Selection'!$B$11),"OK","")</f>
        <v/>
      </c>
    </row>
    <row r="11" spans="1:8">
      <c r="A11" s="43">
        <v>1</v>
      </c>
      <c r="B11" s="43">
        <v>8</v>
      </c>
      <c r="C11" s="44">
        <f>'Device Selection'!$B$4/A11</f>
        <v>1200</v>
      </c>
      <c r="D11" s="44">
        <f>'Device Selection'!$B$5*1000/A11/(SQRT(3)*('Device Selection'!$B$7*(C11)/SQRT(2))*'Device Selection'!$B$6)</f>
        <v>214.86752129677006</v>
      </c>
      <c r="E11" s="44">
        <f>A11*3*D11^2*('Device Selection'!$G$6/1000)/B11+A11*6*(('Device Selection'!$G$7+'Device Selection'!$G$8)/1000)*(C11/'Device Selection'!$G$9)*(D11/'Device Selection'!$G$10)*('Device Selection'!$G$11*1000)+A11*'Device Selection'!$B$15</f>
        <v>3180.6574036263983</v>
      </c>
      <c r="F11" s="45">
        <f>'Device Selection'!$B$5/('Device Selection'!$B$5+E11/1000)</f>
        <v>0.98950903586374916</v>
      </c>
      <c r="G11" s="44">
        <f>'Device Selection'!$B$10 + (E11/A11)*'Device Selection'!$G$14 + ((E11/A11-'Device Selection'!$B$15)/(6*B11))*('Device Selection'!$G$12+'Device Selection'!$G$13)</f>
        <v>234.33396585403059</v>
      </c>
      <c r="H11" s="55" t="str">
        <f>IF(AND(C11*(1+'Device Selection'!$B$8)&lt;='Device Selection'!$G$4,D11*(1+'Device Selection'!$B$9)/B11&lt;='Device Selection'!$G$5,G11&lt;='Device Selection'!$B$11),"OK","")</f>
        <v/>
      </c>
    </row>
    <row r="12" spans="1:8">
      <c r="A12" s="43">
        <v>1</v>
      </c>
      <c r="B12" s="43">
        <v>9</v>
      </c>
      <c r="C12" s="44">
        <f>'Device Selection'!$B$4/A12</f>
        <v>1200</v>
      </c>
      <c r="D12" s="44">
        <f>'Device Selection'!$B$5*1000/A12/(SQRT(3)*('Device Selection'!$B$7*(C12)/SQRT(2))*'Device Selection'!$B$6)</f>
        <v>214.86752129677006</v>
      </c>
      <c r="E12" s="44">
        <f>A12*3*D12^2*('Device Selection'!$G$6/1000)/B12+A12*6*(('Device Selection'!$G$7+'Device Selection'!$G$8)/1000)*(C12/'Device Selection'!$G$9)*(D12/'Device Selection'!$G$10)*('Device Selection'!$G$11*1000)+A12*'Device Selection'!$B$15</f>
        <v>3171.0390595205195</v>
      </c>
      <c r="F12" s="45">
        <f>'Device Selection'!$B$5/('Device Selection'!$B$5+E12/1000)</f>
        <v>0.98954042883067739</v>
      </c>
      <c r="G12" s="44">
        <f>'Device Selection'!$B$10 + (E12/A12)*'Device Selection'!$G$14 + ((E12/A12-'Device Selection'!$B$15)/(6*B12))*('Device Selection'!$G$12+'Device Selection'!$G$13)</f>
        <v>233.24978861976007</v>
      </c>
      <c r="H12" s="55" t="str">
        <f>IF(AND(C12*(1+'Device Selection'!$B$8)&lt;='Device Selection'!$G$4,D12*(1+'Device Selection'!$B$9)/B12&lt;='Device Selection'!$G$5,G12&lt;='Device Selection'!$B$11),"OK","")</f>
        <v/>
      </c>
    </row>
    <row r="13" spans="1:8">
      <c r="A13" s="43">
        <v>1</v>
      </c>
      <c r="B13" s="43">
        <v>10</v>
      </c>
      <c r="C13" s="44">
        <f>'Device Selection'!$B$4/A13</f>
        <v>1200</v>
      </c>
      <c r="D13" s="44">
        <f>'Device Selection'!$B$5*1000/A13/(SQRT(3)*('Device Selection'!$B$7*(C13)/SQRT(2))*'Device Selection'!$B$6)</f>
        <v>214.86752129677006</v>
      </c>
      <c r="E13" s="44">
        <f>A13*3*D13^2*('Device Selection'!$G$6/1000)/B13+A13*6*(('Device Selection'!$G$7+'Device Selection'!$G$8)/1000)*(C13/'Device Selection'!$G$9)*(D13/'Device Selection'!$G$10)*('Device Selection'!$G$11*1000)+A13*'Device Selection'!$B$15</f>
        <v>3163.3443842358165</v>
      </c>
      <c r="F13" s="45">
        <f>'Device Selection'!$B$5/('Device Selection'!$B$5+E13/1000)</f>
        <v>0.98956554463844904</v>
      </c>
      <c r="G13" s="44">
        <f>'Device Selection'!$B$10 + (E13/A13)*'Device Selection'!$G$14 + ((E13/A13-'Device Selection'!$B$15)/(6*B13))*('Device Selection'!$G$12+'Device Selection'!$G$13)</f>
        <v>232.38501172410525</v>
      </c>
      <c r="H13" s="55" t="str">
        <f>IF(AND(C13*(1+'Device Selection'!$B$8)&lt;='Device Selection'!$G$4,D13*(1+'Device Selection'!$B$9)/B13&lt;='Device Selection'!$G$5,G13&lt;='Device Selection'!$B$11),"OK","")</f>
        <v/>
      </c>
    </row>
    <row r="14" spans="1:8">
      <c r="A14" s="43">
        <v>2</v>
      </c>
      <c r="B14" s="43">
        <v>1</v>
      </c>
      <c r="C14" s="44">
        <f>'Device Selection'!$B$4/A14</f>
        <v>600</v>
      </c>
      <c r="D14" s="44">
        <f>'Device Selection'!$B$5*1000/A14/(SQRT(3)*('Device Selection'!$B$7*(C14)/SQRT(2))*'Device Selection'!$B$6)</f>
        <v>214.86752129677006</v>
      </c>
      <c r="E14" s="44">
        <f>A14*3*D14^2*('Device Selection'!$G$6/1000)/B14+A14*6*(('Device Selection'!$G$7+'Device Selection'!$G$8)/1000)*(C14/'Device Selection'!$G$9)*(D14/'Device Selection'!$G$10)*('Device Selection'!$G$11*1000)+A14*'Device Selection'!$B$15</f>
        <v>4479.1338579200274</v>
      </c>
      <c r="F14" s="45">
        <f>'Device Selection'!$B$5/('Device Selection'!$B$5+E14/1000)</f>
        <v>0.98528919272343263</v>
      </c>
      <c r="G14" s="44">
        <f>'Device Selection'!$B$10 + (E14/A14)*'Device Selection'!$G$14 + ((E14/A14-'Device Selection'!$B$15)/(6*B14))*('Device Selection'!$G$12+'Device Selection'!$G$13)</f>
        <v>211.83923883413422</v>
      </c>
      <c r="H14" s="55" t="str">
        <f>IF(AND(C14*(1+'Device Selection'!$B$8)&lt;='Device Selection'!$G$4,D14*(1+'Device Selection'!$B$9)/B14&lt;='Device Selection'!$G$5,G14&lt;='Device Selection'!$B$11),"OK","")</f>
        <v/>
      </c>
    </row>
    <row r="15" spans="1:8">
      <c r="A15" s="43">
        <v>2</v>
      </c>
      <c r="B15" s="43">
        <v>2</v>
      </c>
      <c r="C15" s="44">
        <f>'Device Selection'!$B$4/A15</f>
        <v>600</v>
      </c>
      <c r="D15" s="44">
        <f>'Device Selection'!$B$5*1000/A15/(SQRT(3)*('Device Selection'!$B$7*(C15)/SQRT(2))*'Device Selection'!$B$6)</f>
        <v>214.86752129677006</v>
      </c>
      <c r="E15" s="44">
        <f>A15*3*D15^2*('Device Selection'!$G$6/1000)/B15+A15*6*(('Device Selection'!$G$7+'Device Selection'!$G$8)/1000)*(C15/'Device Selection'!$G$9)*(D15/'Device Selection'!$G$10)*('Device Selection'!$G$11*1000)+A15*'Device Selection'!$B$15</f>
        <v>3786.6130822967584</v>
      </c>
      <c r="F15" s="45">
        <f>'Device Selection'!$B$5/('Device Selection'!$B$5+E15/1000)</f>
        <v>0.98753528654907863</v>
      </c>
      <c r="G15" s="44">
        <f>'Device Selection'!$B$10 + (E15/A15)*'Device Selection'!$G$14 + ((E15/A15-'Device Selection'!$B$15)/(6*B15))*('Device Selection'!$G$12+'Device Selection'!$G$13)</f>
        <v>177.2873706650748</v>
      </c>
      <c r="H15" s="55" t="str">
        <f>IF(AND(C15*(1+'Device Selection'!$B$8)&lt;='Device Selection'!$G$4,D15*(1+'Device Selection'!$B$9)/B15&lt;='Device Selection'!$G$5,G15&lt;='Device Selection'!$B$11),"OK","")</f>
        <v/>
      </c>
    </row>
    <row r="16" spans="1:8">
      <c r="A16" s="43">
        <v>2</v>
      </c>
      <c r="B16" s="43">
        <v>3</v>
      </c>
      <c r="C16" s="44">
        <f>'Device Selection'!$B$4/A16</f>
        <v>600</v>
      </c>
      <c r="D16" s="44">
        <f>'Device Selection'!$B$5*1000/A16/(SQRT(3)*('Device Selection'!$B$7*(C16)/SQRT(2))*'Device Selection'!$B$6)</f>
        <v>214.86752129677006</v>
      </c>
      <c r="E16" s="44">
        <f>A16*3*D16^2*('Device Selection'!$G$6/1000)/B16+A16*6*(('Device Selection'!$G$7+'Device Selection'!$G$8)/1000)*(C16/'Device Selection'!$G$9)*(D16/'Device Selection'!$G$10)*('Device Selection'!$G$11*1000)+A16*'Device Selection'!$B$15</f>
        <v>3555.7728237556689</v>
      </c>
      <c r="F16" s="45">
        <f>'Device Selection'!$B$5/('Device Selection'!$B$5+E16/1000)</f>
        <v>0.98828626189290047</v>
      </c>
      <c r="G16" s="44">
        <f>'Device Selection'!$B$10 + (E16/A16)*'Device Selection'!$G$14 + ((E16/A16-'Device Selection'!$B$15)/(6*B16))*('Device Selection'!$G$12+'Device Selection'!$G$13)</f>
        <v>166.79603798001546</v>
      </c>
      <c r="H16" s="55" t="str">
        <f>IF(AND(C16*(1+'Device Selection'!$B$8)&lt;='Device Selection'!$G$4,D16*(1+'Device Selection'!$B$9)/B16&lt;='Device Selection'!$G$5,G16&lt;='Device Selection'!$B$11),"OK","")</f>
        <v/>
      </c>
    </row>
    <row r="17" spans="1:8">
      <c r="A17" s="43">
        <v>2</v>
      </c>
      <c r="B17" s="43">
        <v>4</v>
      </c>
      <c r="C17" s="44">
        <f>'Device Selection'!$B$4/A17</f>
        <v>600</v>
      </c>
      <c r="D17" s="44">
        <f>'Device Selection'!$B$5*1000/A17/(SQRT(3)*('Device Selection'!$B$7*(C17)/SQRT(2))*'Device Selection'!$B$6)</f>
        <v>214.86752129677006</v>
      </c>
      <c r="E17" s="44">
        <f>A17*3*D17^2*('Device Selection'!$G$6/1000)/B17+A17*6*(('Device Selection'!$G$7+'Device Selection'!$G$8)/1000)*(C17/'Device Selection'!$G$9)*(D17/'Device Selection'!$G$10)*('Device Selection'!$G$11*1000)+A17*'Device Selection'!$B$15</f>
        <v>3440.3526944851242</v>
      </c>
      <c r="F17" s="45">
        <f>'Device Selection'!$B$5/('Device Selection'!$B$5+E17/1000)</f>
        <v>0.98866217803948775</v>
      </c>
      <c r="G17" s="44">
        <f>'Device Selection'!$B$10 + (E17/A17)*'Device Selection'!$G$14 + ((E17/A17-'Device Selection'!$B$15)/(6*B17))*('Device Selection'!$G$12+'Device Selection'!$G$13)</f>
        <v>161.74273851960334</v>
      </c>
      <c r="H17" s="55" t="str">
        <f>IF(AND(C17*(1+'Device Selection'!$B$8)&lt;='Device Selection'!$G$4,D17*(1+'Device Selection'!$B$9)/B17&lt;='Device Selection'!$G$5,G17&lt;='Device Selection'!$B$11),"OK","")</f>
        <v/>
      </c>
    </row>
    <row r="18" spans="1:8">
      <c r="A18" s="43">
        <v>2</v>
      </c>
      <c r="B18" s="43">
        <v>5</v>
      </c>
      <c r="C18" s="44">
        <f>'Device Selection'!$B$4/A18</f>
        <v>600</v>
      </c>
      <c r="D18" s="44">
        <f>'Device Selection'!$B$5*1000/A18/(SQRT(3)*('Device Selection'!$B$7*(C18)/SQRT(2))*'Device Selection'!$B$6)</f>
        <v>214.86752129677006</v>
      </c>
      <c r="E18" s="44">
        <f>A18*3*D18^2*('Device Selection'!$G$6/1000)/B18+A18*6*(('Device Selection'!$G$7+'Device Selection'!$G$8)/1000)*(C18/'Device Selection'!$G$9)*(D18/'Device Selection'!$G$10)*('Device Selection'!$G$11*1000)+A18*'Device Selection'!$B$15</f>
        <v>3371.1006169227971</v>
      </c>
      <c r="F18" s="45">
        <f>'Device Selection'!$B$5/('Device Selection'!$B$5+E18/1000)</f>
        <v>0.988887865027132</v>
      </c>
      <c r="G18" s="44">
        <f>'Device Selection'!$B$10 + (E18/A18)*'Device Selection'!$G$14 + ((E18/A18-'Device Selection'!$B$15)/(6*B18))*('Device Selection'!$G$12+'Device Selection'!$G$13)</f>
        <v>158.77231624563365</v>
      </c>
      <c r="H18" s="55" t="str">
        <f>IF(AND(C18*(1+'Device Selection'!$B$8)&lt;='Device Selection'!$G$4,D18*(1+'Device Selection'!$B$9)/B18&lt;='Device Selection'!$G$5,G18&lt;='Device Selection'!$B$11),"OK","")</f>
        <v/>
      </c>
    </row>
    <row r="19" spans="1:8">
      <c r="A19" s="43">
        <v>2</v>
      </c>
      <c r="B19" s="43">
        <v>6</v>
      </c>
      <c r="C19" s="44">
        <f>'Device Selection'!$B$4/A19</f>
        <v>600</v>
      </c>
      <c r="D19" s="44">
        <f>'Device Selection'!$B$5*1000/A19/(SQRT(3)*('Device Selection'!$B$7*(C19)/SQRT(2))*'Device Selection'!$B$6)</f>
        <v>214.86752129677006</v>
      </c>
      <c r="E19" s="44">
        <f>A19*3*D19^2*('Device Selection'!$G$6/1000)/B19+A19*6*(('Device Selection'!$G$7+'Device Selection'!$G$8)/1000)*(C19/'Device Selection'!$G$9)*(D19/'Device Selection'!$G$10)*('Device Selection'!$G$11*1000)+A19*'Device Selection'!$B$15</f>
        <v>3324.932565214579</v>
      </c>
      <c r="F19" s="45">
        <f>'Device Selection'!$B$5/('Device Selection'!$B$5+E19/1000)</f>
        <v>0.98903838027063695</v>
      </c>
      <c r="G19" s="44">
        <f>'Device Selection'!$B$10 + (E19/A19)*'Device Selection'!$G$14 + ((E19/A19-'Device Selection'!$B$15)/(6*B19))*('Device Selection'!$G$12+'Device Selection'!$G$13)</f>
        <v>156.81768364726955</v>
      </c>
      <c r="H19" s="55" t="str">
        <f>IF(AND(C19*(1+'Device Selection'!$B$8)&lt;='Device Selection'!$G$4,D19*(1+'Device Selection'!$B$9)/B19&lt;='Device Selection'!$G$5,G19&lt;='Device Selection'!$B$11),"OK","")</f>
        <v/>
      </c>
    </row>
    <row r="20" spans="1:8">
      <c r="A20" s="43">
        <v>2</v>
      </c>
      <c r="B20" s="43">
        <v>7</v>
      </c>
      <c r="C20" s="44">
        <f>'Device Selection'!$B$4/A20</f>
        <v>600</v>
      </c>
      <c r="D20" s="44">
        <f>'Device Selection'!$B$5*1000/A20/(SQRT(3)*('Device Selection'!$B$7*(C20)/SQRT(2))*'Device Selection'!$B$6)</f>
        <v>214.86752129677006</v>
      </c>
      <c r="E20" s="44">
        <f>A20*3*D20^2*('Device Selection'!$G$6/1000)/B20+A20*6*(('Device Selection'!$G$7+'Device Selection'!$G$8)/1000)*(C20/'Device Selection'!$G$9)*(D20/'Device Selection'!$G$10)*('Device Selection'!$G$11*1000)+A20*'Device Selection'!$B$15</f>
        <v>3291.9553854229948</v>
      </c>
      <c r="F20" s="45">
        <f>'Device Selection'!$B$5/('Device Selection'!$B$5+E20/1000)</f>
        <v>0.98914591921424488</v>
      </c>
      <c r="G20" s="44">
        <f>'Device Selection'!$B$10 + (E20/A20)*'Device Selection'!$G$14 + ((E20/A20-'Device Selection'!$B$15)/(6*B20))*('Device Selection'!$G$12+'Device Selection'!$G$13)</f>
        <v>155.43408024073966</v>
      </c>
      <c r="H20" s="55" t="str">
        <f>IF(AND(C20*(1+'Device Selection'!$B$8)&lt;='Device Selection'!$G$4,D20*(1+'Device Selection'!$B$9)/B20&lt;='Device Selection'!$G$5,G20&lt;='Device Selection'!$B$11),"OK","")</f>
        <v/>
      </c>
    </row>
    <row r="21" spans="1:8">
      <c r="A21" s="43">
        <v>2</v>
      </c>
      <c r="B21" s="43">
        <v>8</v>
      </c>
      <c r="C21" s="44">
        <f>'Device Selection'!$B$4/A21</f>
        <v>600</v>
      </c>
      <c r="D21" s="44">
        <f>'Device Selection'!$B$5*1000/A21/(SQRT(3)*('Device Selection'!$B$7*(C21)/SQRT(2))*'Device Selection'!$B$6)</f>
        <v>214.86752129677006</v>
      </c>
      <c r="E21" s="44">
        <f>A21*3*D21^2*('Device Selection'!$G$6/1000)/B21+A21*6*(('Device Selection'!$G$7+'Device Selection'!$G$8)/1000)*(C21/'Device Selection'!$G$9)*(D21/'Device Selection'!$G$10)*('Device Selection'!$G$11*1000)+A21*'Device Selection'!$B$15</f>
        <v>3267.2225005793066</v>
      </c>
      <c r="F21" s="45">
        <f>'Device Selection'!$B$5/('Device Selection'!$B$5+E21/1000)</f>
        <v>0.98922658876999792</v>
      </c>
      <c r="G21" s="44">
        <f>'Device Selection'!$B$10 + (E21/A21)*'Device Selection'!$G$14 + ((E21/A21-'Device Selection'!$B$15)/(6*B21))*('Device Selection'!$G$12+'Device Selection'!$G$13)</f>
        <v>154.40324793163211</v>
      </c>
      <c r="H21" s="55" t="str">
        <f>IF(AND(C21*(1+'Device Selection'!$B$8)&lt;='Device Selection'!$G$4,D21*(1+'Device Selection'!$B$9)/B21&lt;='Device Selection'!$G$5,G21&lt;='Device Selection'!$B$11),"OK","")</f>
        <v/>
      </c>
    </row>
    <row r="22" spans="1:8">
      <c r="A22" s="43">
        <v>2</v>
      </c>
      <c r="B22" s="43">
        <v>9</v>
      </c>
      <c r="C22" s="44">
        <f>'Device Selection'!$B$4/A22</f>
        <v>600</v>
      </c>
      <c r="D22" s="44">
        <f>'Device Selection'!$B$5*1000/A22/(SQRT(3)*('Device Selection'!$B$7*(C22)/SQRT(2))*'Device Selection'!$B$6)</f>
        <v>214.86752129677006</v>
      </c>
      <c r="E22" s="44">
        <f>A22*3*D22^2*('Device Selection'!$G$6/1000)/B22+A22*6*(('Device Selection'!$G$7+'Device Selection'!$G$8)/1000)*(C22/'Device Selection'!$G$9)*(D22/'Device Selection'!$G$10)*('Device Selection'!$G$11*1000)+A22*'Device Selection'!$B$15</f>
        <v>3247.9858123675494</v>
      </c>
      <c r="F22" s="45">
        <f>'Device Selection'!$B$5/('Device Selection'!$B$5+E22/1000)</f>
        <v>0.98928934085525222</v>
      </c>
      <c r="G22" s="44">
        <f>'Device Selection'!$B$10 + (E22/A22)*'Device Selection'!$G$14 + ((E22/A22-'Device Selection'!$B$15)/(6*B22))*('Device Selection'!$G$12+'Device Selection'!$G$13)</f>
        <v>153.60556072575727</v>
      </c>
      <c r="H22" s="55" t="str">
        <f>IF(AND(C22*(1+'Device Selection'!$B$8)&lt;='Device Selection'!$G$4,D22*(1+'Device Selection'!$B$9)/B22&lt;='Device Selection'!$G$5,G22&lt;='Device Selection'!$B$11),"OK","")</f>
        <v/>
      </c>
    </row>
    <row r="23" spans="1:8">
      <c r="A23" s="43">
        <v>2</v>
      </c>
      <c r="B23" s="43">
        <v>10</v>
      </c>
      <c r="C23" s="44">
        <f>'Device Selection'!$B$4/A23</f>
        <v>600</v>
      </c>
      <c r="D23" s="44">
        <f>'Device Selection'!$B$5*1000/A23/(SQRT(3)*('Device Selection'!$B$7*(C23)/SQRT(2))*'Device Selection'!$B$6)</f>
        <v>214.86752129677006</v>
      </c>
      <c r="E23" s="44">
        <f>A23*3*D23^2*('Device Selection'!$G$6/1000)/B23+A23*6*(('Device Selection'!$G$7+'Device Selection'!$G$8)/1000)*(C23/'Device Selection'!$G$9)*(D23/'Device Selection'!$G$10)*('Device Selection'!$G$11*1000)+A23*'Device Selection'!$B$15</f>
        <v>3232.5964617981431</v>
      </c>
      <c r="F23" s="45">
        <f>'Device Selection'!$B$5/('Device Selection'!$B$5+E23/1000)</f>
        <v>0.98933954825596926</v>
      </c>
      <c r="G23" s="44">
        <f>'Device Selection'!$B$10 + (E23/A23)*'Device Selection'!$G$14 + ((E23/A23-'Device Selection'!$B$15)/(6*B23))*('Device Selection'!$G$12+'Device Selection'!$G$13)</f>
        <v>152.969975852819</v>
      </c>
      <c r="H23" s="55" t="str">
        <f>IF(AND(C23*(1+'Device Selection'!$B$8)&lt;='Device Selection'!$G$4,D23*(1+'Device Selection'!$B$9)/B23&lt;='Device Selection'!$G$5,G23&lt;='Device Selection'!$B$11),"OK","")</f>
        <v/>
      </c>
    </row>
    <row r="24" spans="1:8">
      <c r="A24" s="43">
        <v>3</v>
      </c>
      <c r="B24" s="43">
        <v>1</v>
      </c>
      <c r="C24" s="44">
        <f>'Device Selection'!$B$4/A24</f>
        <v>400</v>
      </c>
      <c r="D24" s="44">
        <f>'Device Selection'!$B$5*1000/A24/(SQRT(3)*('Device Selection'!$B$7*(C24)/SQRT(2))*'Device Selection'!$B$6)</f>
        <v>214.86752129677006</v>
      </c>
      <c r="E24" s="44">
        <f>A24*3*D24^2*('Device Selection'!$G$6/1000)/B24+A24*6*(('Device Selection'!$G$7+'Device Selection'!$G$8)/1000)*(C24/'Device Selection'!$G$9)*(D24/'Device Selection'!$G$10)*('Device Selection'!$G$11*1000)+A24*'Device Selection'!$B$15</f>
        <v>5171.6546335432968</v>
      </c>
      <c r="F24" s="45">
        <f>'Device Selection'!$B$5/('Device Selection'!$B$5+E24/1000)</f>
        <v>0.98305329294179189</v>
      </c>
      <c r="G24" s="44">
        <f>'Device Selection'!$B$10 + (E24/A24)*'Device Selection'!$G$14 + ((E24/A24-'Device Selection'!$B$15)/(6*B24))*('Device Selection'!$G$12+'Device Selection'!$G$13)</f>
        <v>179.17937559702514</v>
      </c>
      <c r="H24" s="55" t="str">
        <f>IF(AND(C24*(1+'Device Selection'!$B$8)&lt;='Device Selection'!$G$4,D24*(1+'Device Selection'!$B$9)/B24&lt;='Device Selection'!$G$5,G24&lt;='Device Selection'!$B$11),"OK","")</f>
        <v/>
      </c>
    </row>
    <row r="25" spans="1:8">
      <c r="A25" s="43">
        <v>3</v>
      </c>
      <c r="B25" s="43">
        <v>2</v>
      </c>
      <c r="C25" s="44">
        <f>'Device Selection'!$B$4/A25</f>
        <v>400</v>
      </c>
      <c r="D25" s="44">
        <f>'Device Selection'!$B$5*1000/A25/(SQRT(3)*('Device Selection'!$B$7*(C25)/SQRT(2))*'Device Selection'!$B$6)</f>
        <v>214.86752129677006</v>
      </c>
      <c r="E25" s="44">
        <f>A25*3*D25^2*('Device Selection'!$G$6/1000)/B25+A25*6*(('Device Selection'!$G$7+'Device Selection'!$G$8)/1000)*(C25/'Device Selection'!$G$9)*(D25/'Device Selection'!$G$10)*('Device Selection'!$G$11*1000)+A25*'Device Selection'!$B$15</f>
        <v>4132.8734701083931</v>
      </c>
      <c r="F25" s="45">
        <f>'Device Selection'!$B$5/('Device Selection'!$B$5+E25/1000)</f>
        <v>0.98641096102847103</v>
      </c>
      <c r="G25" s="44">
        <f>'Device Selection'!$B$10 + (E25/A25)*'Device Selection'!$G$14 + ((E25/A25-'Device Selection'!$B$15)/(6*B25))*('Device Selection'!$G$12+'Device Selection'!$G$13)</f>
        <v>148.06538776871412</v>
      </c>
      <c r="H25" s="55" t="str">
        <f>IF(AND(C25*(1+'Device Selection'!$B$8)&lt;='Device Selection'!$G$4,D25*(1+'Device Selection'!$B$9)/B25&lt;='Device Selection'!$G$5,G25&lt;='Device Selection'!$B$11),"OK","")</f>
        <v/>
      </c>
    </row>
    <row r="26" spans="1:8">
      <c r="A26" s="43">
        <v>3</v>
      </c>
      <c r="B26" s="43">
        <v>3</v>
      </c>
      <c r="C26" s="44">
        <f>'Device Selection'!$B$4/A26</f>
        <v>400</v>
      </c>
      <c r="D26" s="44">
        <f>'Device Selection'!$B$5*1000/A26/(SQRT(3)*('Device Selection'!$B$7*(C26)/SQRT(2))*'Device Selection'!$B$6)</f>
        <v>214.86752129677006</v>
      </c>
      <c r="E26" s="44">
        <f>A26*3*D26^2*('Device Selection'!$G$6/1000)/B26+A26*6*(('Device Selection'!$G$7+'Device Selection'!$G$8)/1000)*(C26/'Device Selection'!$G$9)*(D26/'Device Selection'!$G$10)*('Device Selection'!$G$11*1000)+A26*'Device Selection'!$B$15</f>
        <v>3786.6130822967584</v>
      </c>
      <c r="F26" s="45">
        <f>'Device Selection'!$B$5/('Device Selection'!$B$5+E26/1000)</f>
        <v>0.98753528654907863</v>
      </c>
      <c r="G26" s="44">
        <f>'Device Selection'!$B$10 + (E26/A26)*'Device Selection'!$G$14 + ((E26/A26-'Device Selection'!$B$15)/(6*B26))*('Device Selection'!$G$12+'Device Selection'!$G$13)</f>
        <v>138.72001519723747</v>
      </c>
      <c r="H26" s="55" t="str">
        <f>IF(AND(C26*(1+'Device Selection'!$B$8)&lt;='Device Selection'!$G$4,D26*(1+'Device Selection'!$B$9)/B26&lt;='Device Selection'!$G$5,G26&lt;='Device Selection'!$B$11),"OK","")</f>
        <v/>
      </c>
    </row>
    <row r="27" spans="1:8">
      <c r="A27" s="43">
        <v>3</v>
      </c>
      <c r="B27" s="43">
        <v>4</v>
      </c>
      <c r="C27" s="44">
        <f>'Device Selection'!$B$4/A27</f>
        <v>400</v>
      </c>
      <c r="D27" s="44">
        <f>'Device Selection'!$B$5*1000/A27/(SQRT(3)*('Device Selection'!$B$7*(C27)/SQRT(2))*'Device Selection'!$B$6)</f>
        <v>214.86752129677006</v>
      </c>
      <c r="E27" s="44">
        <f>A27*3*D27^2*('Device Selection'!$G$6/1000)/B27+A27*6*(('Device Selection'!$G$7+'Device Selection'!$G$8)/1000)*(C27/'Device Selection'!$G$9)*(D27/'Device Selection'!$G$10)*('Device Selection'!$G$11*1000)+A27*'Device Selection'!$B$15</f>
        <v>3613.4828883909413</v>
      </c>
      <c r="F27" s="45">
        <f>'Device Selection'!$B$5/('Device Selection'!$B$5+E27/1000)</f>
        <v>0.98809841099935847</v>
      </c>
      <c r="G27" s="44">
        <f>'Device Selection'!$B$10 + (E27/A27)*'Device Selection'!$G$14 + ((E27/A27-'Device Selection'!$B$15)/(6*B27))*('Device Selection'!$G$12+'Device Selection'!$G$13)</f>
        <v>134.23969579361673</v>
      </c>
      <c r="H27" s="55" t="str">
        <f>IF(AND(C27*(1+'Device Selection'!$B$8)&lt;='Device Selection'!$G$4,D27*(1+'Device Selection'!$B$9)/B27&lt;='Device Selection'!$G$5,G27&lt;='Device Selection'!$B$11),"OK","")</f>
        <v/>
      </c>
    </row>
    <row r="28" spans="1:8">
      <c r="A28" s="43">
        <v>3</v>
      </c>
      <c r="B28" s="43">
        <v>5</v>
      </c>
      <c r="C28" s="44">
        <f>'Device Selection'!$B$4/A28</f>
        <v>400</v>
      </c>
      <c r="D28" s="44">
        <f>'Device Selection'!$B$5*1000/A28/(SQRT(3)*('Device Selection'!$B$7*(C28)/SQRT(2))*'Device Selection'!$B$6)</f>
        <v>214.86752129677006</v>
      </c>
      <c r="E28" s="44">
        <f>A28*3*D28^2*('Device Selection'!$G$6/1000)/B28+A28*6*(('Device Selection'!$G$7+'Device Selection'!$G$8)/1000)*(C28/'Device Selection'!$G$9)*(D28/'Device Selection'!$G$10)*('Device Selection'!$G$11*1000)+A28*'Device Selection'!$B$15</f>
        <v>3509.6047720474508</v>
      </c>
      <c r="F28" s="45">
        <f>'Device Selection'!$B$5/('Device Selection'!$B$5+E28/1000)</f>
        <v>0.98843659404227635</v>
      </c>
      <c r="G28" s="44">
        <f>'Device Selection'!$B$10 + (E28/A28)*'Device Selection'!$G$14 + ((E28/A28-'Device Selection'!$B$15)/(6*B28))*('Device Selection'!$G$12+'Device Selection'!$G$13)</f>
        <v>131.61306155372193</v>
      </c>
      <c r="H28" s="55" t="str">
        <f>IF(AND(C28*(1+'Device Selection'!$B$8)&lt;='Device Selection'!$G$4,D28*(1+'Device Selection'!$B$9)/B28&lt;='Device Selection'!$G$5,G28&lt;='Device Selection'!$B$11),"OK","")</f>
        <v/>
      </c>
    </row>
    <row r="29" spans="1:8">
      <c r="A29" s="43">
        <v>3</v>
      </c>
      <c r="B29" s="43">
        <v>6</v>
      </c>
      <c r="C29" s="44">
        <f>'Device Selection'!$B$4/A29</f>
        <v>400</v>
      </c>
      <c r="D29" s="44">
        <f>'Device Selection'!$B$5*1000/A29/(SQRT(3)*('Device Selection'!$B$7*(C29)/SQRT(2))*'Device Selection'!$B$6)</f>
        <v>214.86752129677006</v>
      </c>
      <c r="E29" s="44">
        <f>A29*3*D29^2*('Device Selection'!$G$6/1000)/B29+A29*6*(('Device Selection'!$G$7+'Device Selection'!$G$8)/1000)*(C29/'Device Selection'!$G$9)*(D29/'Device Selection'!$G$10)*('Device Selection'!$G$11*1000)+A29*'Device Selection'!$B$15</f>
        <v>3440.3526944851242</v>
      </c>
      <c r="F29" s="45">
        <f>'Device Selection'!$B$5/('Device Selection'!$B$5+E29/1000)</f>
        <v>0.98866217803948775</v>
      </c>
      <c r="G29" s="44">
        <f>'Device Selection'!$B$10 + (E29/A29)*'Device Selection'!$G$14 + ((E29/A29-'Device Selection'!$B$15)/(6*B29))*('Device Selection'!$G$12+'Device Selection'!$G$13)</f>
        <v>129.88762097807441</v>
      </c>
      <c r="H29" s="55" t="str">
        <f>IF(AND(C29*(1+'Device Selection'!$B$8)&lt;='Device Selection'!$G$4,D29*(1+'Device Selection'!$B$9)/B29&lt;='Device Selection'!$G$5,G29&lt;='Device Selection'!$B$11),"OK","")</f>
        <v/>
      </c>
    </row>
    <row r="30" spans="1:8">
      <c r="A30" s="43">
        <v>3</v>
      </c>
      <c r="B30" s="43">
        <v>7</v>
      </c>
      <c r="C30" s="44">
        <f>'Device Selection'!$B$4/A30</f>
        <v>400</v>
      </c>
      <c r="D30" s="44">
        <f>'Device Selection'!$B$5*1000/A30/(SQRT(3)*('Device Selection'!$B$7*(C30)/SQRT(2))*'Device Selection'!$B$6)</f>
        <v>214.86752129677006</v>
      </c>
      <c r="E30" s="44">
        <f>A30*3*D30^2*('Device Selection'!$G$6/1000)/B30+A30*6*(('Device Selection'!$G$7+'Device Selection'!$G$8)/1000)*(C30/'Device Selection'!$G$9)*(D30/'Device Selection'!$G$10)*('Device Selection'!$G$11*1000)+A30*'Device Selection'!$B$15</f>
        <v>3390.8869247977477</v>
      </c>
      <c r="F30" s="45">
        <f>'Device Selection'!$B$5/('Device Selection'!$B$5+E30/1000)</f>
        <v>0.98882337251732189</v>
      </c>
      <c r="G30" s="44">
        <f>'Device Selection'!$B$10 + (E30/A30)*'Device Selection'!$G$14 + ((E30/A30-'Device Selection'!$B$15)/(6*B30))*('Device Selection'!$G$12+'Device Selection'!$G$13)</f>
        <v>128.66772615919913</v>
      </c>
      <c r="H30" s="55" t="str">
        <f>IF(AND(C30*(1+'Device Selection'!$B$8)&lt;='Device Selection'!$G$4,D30*(1+'Device Selection'!$B$9)/B30&lt;='Device Selection'!$G$5,G30&lt;='Device Selection'!$B$11),"OK","")</f>
        <v/>
      </c>
    </row>
    <row r="31" spans="1:8">
      <c r="A31" s="43">
        <v>3</v>
      </c>
      <c r="B31" s="43">
        <v>8</v>
      </c>
      <c r="C31" s="44">
        <f>'Device Selection'!$B$4/A31</f>
        <v>400</v>
      </c>
      <c r="D31" s="44">
        <f>'Device Selection'!$B$5*1000/A31/(SQRT(3)*('Device Selection'!$B$7*(C31)/SQRT(2))*'Device Selection'!$B$6)</f>
        <v>214.86752129677006</v>
      </c>
      <c r="E31" s="44">
        <f>A31*3*D31^2*('Device Selection'!$G$6/1000)/B31+A31*6*(('Device Selection'!$G$7+'Device Selection'!$G$8)/1000)*(C31/'Device Selection'!$G$9)*(D31/'Device Selection'!$G$10)*('Device Selection'!$G$11*1000)+A31*'Device Selection'!$B$15</f>
        <v>3353.7875975322154</v>
      </c>
      <c r="F31" s="45">
        <f>'Device Selection'!$B$5/('Device Selection'!$B$5+E31/1000)</f>
        <v>0.98894430287456381</v>
      </c>
      <c r="G31" s="44">
        <f>'Device Selection'!$B$10 + (E31/A31)*'Device Selection'!$G$14 + ((E31/A31-'Device Selection'!$B$15)/(6*B31))*('Device Selection'!$G$12+'Device Selection'!$G$13)</f>
        <v>127.75967529083259</v>
      </c>
      <c r="H31" s="55" t="str">
        <f>IF(AND(C31*(1+'Device Selection'!$B$8)&lt;='Device Selection'!$G$4,D31*(1+'Device Selection'!$B$9)/B31&lt;='Device Selection'!$G$5,G31&lt;='Device Selection'!$B$11),"OK","")</f>
        <v/>
      </c>
    </row>
    <row r="32" spans="1:8">
      <c r="A32" s="43">
        <v>3</v>
      </c>
      <c r="B32" s="43">
        <v>9</v>
      </c>
      <c r="C32" s="44">
        <f>'Device Selection'!$B$4/A32</f>
        <v>400</v>
      </c>
      <c r="D32" s="44">
        <f>'Device Selection'!$B$5*1000/A32/(SQRT(3)*('Device Selection'!$B$7*(C32)/SQRT(2))*'Device Selection'!$B$6)</f>
        <v>214.86752129677006</v>
      </c>
      <c r="E32" s="44">
        <f>A32*3*D32^2*('Device Selection'!$G$6/1000)/B32+A32*6*(('Device Selection'!$G$7+'Device Selection'!$G$8)/1000)*(C32/'Device Selection'!$G$9)*(D32/'Device Selection'!$G$10)*('Device Selection'!$G$11*1000)+A32*'Device Selection'!$B$15</f>
        <v>3324.932565214579</v>
      </c>
      <c r="F32" s="45">
        <f>'Device Selection'!$B$5/('Device Selection'!$B$5+E32/1000)</f>
        <v>0.98903838027063695</v>
      </c>
      <c r="G32" s="44">
        <f>'Device Selection'!$B$10 + (E32/A32)*'Device Selection'!$G$14 + ((E32/A32-'Device Selection'!$B$15)/(6*B32))*('Device Selection'!$G$12+'Device Selection'!$G$13)</f>
        <v>127.0574847610897</v>
      </c>
      <c r="H32" s="55" t="str">
        <f>IF(AND(C32*(1+'Device Selection'!$B$8)&lt;='Device Selection'!$G$4,D32*(1+'Device Selection'!$B$9)/B32&lt;='Device Selection'!$G$5,G32&lt;='Device Selection'!$B$11),"OK","")</f>
        <v/>
      </c>
    </row>
    <row r="33" spans="1:8">
      <c r="A33" s="43">
        <v>3</v>
      </c>
      <c r="B33" s="43">
        <v>10</v>
      </c>
      <c r="C33" s="44">
        <f>'Device Selection'!$B$4/A33</f>
        <v>400</v>
      </c>
      <c r="D33" s="44">
        <f>'Device Selection'!$B$5*1000/A33/(SQRT(3)*('Device Selection'!$B$7*(C33)/SQRT(2))*'Device Selection'!$B$6)</f>
        <v>214.86752129677006</v>
      </c>
      <c r="E33" s="44">
        <f>A33*3*D33^2*('Device Selection'!$G$6/1000)/B33+A33*6*(('Device Selection'!$G$7+'Device Selection'!$G$8)/1000)*(C33/'Device Selection'!$G$9)*(D33/'Device Selection'!$G$10)*('Device Selection'!$G$11*1000)+A33*'Device Selection'!$B$15</f>
        <v>3301.8485393604701</v>
      </c>
      <c r="F33" s="45">
        <f>'Device Selection'!$B$5/('Device Selection'!$B$5+E33/1000)</f>
        <v>0.98911365507575533</v>
      </c>
      <c r="G33" s="44">
        <f>'Device Selection'!$B$10 + (E33/A33)*'Device Selection'!$G$14 + ((E33/A33-'Device Selection'!$B$15)/(6*B33))*('Device Selection'!$G$12+'Device Selection'!$G$13)</f>
        <v>126.49829722905693</v>
      </c>
      <c r="H33" s="55" t="str">
        <f>IF(AND(C33*(1+'Device Selection'!$B$8)&lt;='Device Selection'!$G$4,D33*(1+'Device Selection'!$B$9)/B33&lt;='Device Selection'!$G$5,G33&lt;='Device Selection'!$B$11),"OK","")</f>
        <v/>
      </c>
    </row>
    <row r="34" spans="1:8">
      <c r="A34" s="43">
        <v>4</v>
      </c>
      <c r="B34" s="43">
        <v>1</v>
      </c>
      <c r="C34" s="44">
        <f>'Device Selection'!$B$4/A34</f>
        <v>300</v>
      </c>
      <c r="D34" s="44">
        <f>'Device Selection'!$B$5*1000/A34/(SQRT(3)*('Device Selection'!$B$7*(C34)/SQRT(2))*'Device Selection'!$B$6)</f>
        <v>214.86752129677006</v>
      </c>
      <c r="E34" s="44">
        <f>A34*3*D34^2*('Device Selection'!$G$6/1000)/B34+A34*6*(('Device Selection'!$G$7+'Device Selection'!$G$8)/1000)*(C34/'Device Selection'!$G$9)*(D34/'Device Selection'!$G$10)*('Device Selection'!$G$11*1000)+A34*'Device Selection'!$B$15</f>
        <v>5864.1754091665662</v>
      </c>
      <c r="F34" s="45">
        <f>'Device Selection'!$B$5/('Device Selection'!$B$5+E34/1000)</f>
        <v>0.98082751796178202</v>
      </c>
      <c r="G34" s="44">
        <f>'Device Selection'!$B$10 + (E34/A34)*'Device Selection'!$G$14 + ((E34/A34-'Device Selection'!$B$15)/(6*B34))*('Device Selection'!$G$12+'Device Selection'!$G$13)</f>
        <v>162.84944397847065</v>
      </c>
      <c r="H34" s="55" t="str">
        <f>IF(AND(C34*(1+'Device Selection'!$B$8)&lt;='Device Selection'!$G$4,D34*(1+'Device Selection'!$B$9)/B34&lt;='Device Selection'!$G$5,G34&lt;='Device Selection'!$B$11),"OK","")</f>
        <v/>
      </c>
    </row>
    <row r="35" spans="1:8">
      <c r="A35" s="43">
        <v>4</v>
      </c>
      <c r="B35" s="43">
        <v>2</v>
      </c>
      <c r="C35" s="44">
        <f>'Device Selection'!$B$4/A35</f>
        <v>300</v>
      </c>
      <c r="D35" s="44">
        <f>'Device Selection'!$B$5*1000/A35/(SQRT(3)*('Device Selection'!$B$7*(C35)/SQRT(2))*'Device Selection'!$B$6)</f>
        <v>214.86752129677006</v>
      </c>
      <c r="E35" s="44">
        <f>A35*3*D35^2*('Device Selection'!$G$6/1000)/B35+A35*6*(('Device Selection'!$G$7+'Device Selection'!$G$8)/1000)*(C35/'Device Selection'!$G$9)*(D35/'Device Selection'!$G$10)*('Device Selection'!$G$11*1000)+A35*'Device Selection'!$B$15</f>
        <v>4479.1338579200274</v>
      </c>
      <c r="F35" s="45">
        <f>'Device Selection'!$B$5/('Device Selection'!$B$5+E35/1000)</f>
        <v>0.98528919272343263</v>
      </c>
      <c r="G35" s="44">
        <f>'Device Selection'!$B$10 + (E35/A35)*'Device Selection'!$G$14 + ((E35/A35-'Device Selection'!$B$15)/(6*B35))*('Device Selection'!$G$12+'Device Selection'!$G$13)</f>
        <v>133.45439632053373</v>
      </c>
      <c r="H35" s="55" t="str">
        <f>IF(AND(C35*(1+'Device Selection'!$B$8)&lt;='Device Selection'!$G$4,D35*(1+'Device Selection'!$B$9)/B35&lt;='Device Selection'!$G$5,G35&lt;='Device Selection'!$B$11),"OK","")</f>
        <v/>
      </c>
    </row>
    <row r="36" spans="1:8">
      <c r="A36" s="43">
        <v>4</v>
      </c>
      <c r="B36" s="43">
        <v>3</v>
      </c>
      <c r="C36" s="44">
        <f>'Device Selection'!$B$4/A36</f>
        <v>300</v>
      </c>
      <c r="D36" s="44">
        <f>'Device Selection'!$B$5*1000/A36/(SQRT(3)*('Device Selection'!$B$7*(C36)/SQRT(2))*'Device Selection'!$B$6)</f>
        <v>214.86752129677006</v>
      </c>
      <c r="E36" s="44">
        <f>A36*3*D36^2*('Device Selection'!$G$6/1000)/B36+A36*6*(('Device Selection'!$G$7+'Device Selection'!$G$8)/1000)*(C36/'Device Selection'!$G$9)*(D36/'Device Selection'!$G$10)*('Device Selection'!$G$11*1000)+A36*'Device Selection'!$B$15</f>
        <v>4017.4533408378484</v>
      </c>
      <c r="F36" s="45">
        <f>'Device Selection'!$B$5/('Device Selection'!$B$5+E36/1000)</f>
        <v>0.9867854516354565</v>
      </c>
      <c r="G36" s="44">
        <f>'Device Selection'!$B$10 + (E36/A36)*'Device Selection'!$G$14 + ((E36/A36-'Device Selection'!$B$15)/(6*B36))*('Device Selection'!$G$12+'Device Selection'!$G$13)</f>
        <v>124.6820038058485</v>
      </c>
      <c r="H36" s="55" t="str">
        <f>IF(AND(C36*(1+'Device Selection'!$B$8)&lt;='Device Selection'!$G$4,D36*(1+'Device Selection'!$B$9)/B36&lt;='Device Selection'!$G$5,G36&lt;='Device Selection'!$B$11),"OK","")</f>
        <v/>
      </c>
    </row>
    <row r="37" spans="1:8">
      <c r="A37" s="43">
        <v>4</v>
      </c>
      <c r="B37" s="43">
        <v>4</v>
      </c>
      <c r="C37" s="44">
        <f>'Device Selection'!$B$4/A37</f>
        <v>300</v>
      </c>
      <c r="D37" s="44">
        <f>'Device Selection'!$B$5*1000/A37/(SQRT(3)*('Device Selection'!$B$7*(C37)/SQRT(2))*'Device Selection'!$B$6)</f>
        <v>214.86752129677006</v>
      </c>
      <c r="E37" s="44">
        <f>A37*3*D37^2*('Device Selection'!$G$6/1000)/B37+A37*6*(('Device Selection'!$G$7+'Device Selection'!$G$8)/1000)*(C37/'Device Selection'!$G$9)*(D37/'Device Selection'!$G$10)*('Device Selection'!$G$11*1000)+A37*'Device Selection'!$B$15</f>
        <v>3786.6130822967584</v>
      </c>
      <c r="F37" s="45">
        <f>'Device Selection'!$B$5/('Device Selection'!$B$5+E37/1000)</f>
        <v>0.98753528654907863</v>
      </c>
      <c r="G37" s="44">
        <f>'Device Selection'!$B$10 + (E37/A37)*'Device Selection'!$G$14 + ((E37/A37-'Device Selection'!$B$15)/(6*B37))*('Device Selection'!$G$12+'Device Selection'!$G$13)</f>
        <v>120.48817443062345</v>
      </c>
      <c r="H37" s="55" t="str">
        <f>IF(AND(C37*(1+'Device Selection'!$B$8)&lt;='Device Selection'!$G$4,D37*(1+'Device Selection'!$B$9)/B37&lt;='Device Selection'!$G$5,G37&lt;='Device Selection'!$B$11),"OK","")</f>
        <v/>
      </c>
    </row>
    <row r="38" spans="1:8">
      <c r="A38" s="43">
        <v>4</v>
      </c>
      <c r="B38" s="43">
        <v>5</v>
      </c>
      <c r="C38" s="44">
        <f>'Device Selection'!$B$4/A38</f>
        <v>300</v>
      </c>
      <c r="D38" s="44">
        <f>'Device Selection'!$B$5*1000/A38/(SQRT(3)*('Device Selection'!$B$7*(C38)/SQRT(2))*'Device Selection'!$B$6)</f>
        <v>214.86752129677006</v>
      </c>
      <c r="E38" s="44">
        <f>A38*3*D38^2*('Device Selection'!$G$6/1000)/B38+A38*6*(('Device Selection'!$G$7+'Device Selection'!$G$8)/1000)*(C38/'Device Selection'!$G$9)*(D38/'Device Selection'!$G$10)*('Device Selection'!$G$11*1000)+A38*'Device Selection'!$B$15</f>
        <v>3648.1089271721048</v>
      </c>
      <c r="F38" s="45">
        <f>'Device Selection'!$B$5/('Device Selection'!$B$5+E38/1000)</f>
        <v>0.98798573473728724</v>
      </c>
      <c r="G38" s="44">
        <f>'Device Selection'!$B$10 + (E38/A38)*'Device Selection'!$G$14 + ((E38/A38-'Device Selection'!$B$15)/(6*B38))*('Device Selection'!$G$12+'Device Selection'!$G$13)</f>
        <v>118.03343420776604</v>
      </c>
      <c r="H38" s="55" t="str">
        <f>IF(AND(C38*(1+'Device Selection'!$B$8)&lt;='Device Selection'!$G$4,D38*(1+'Device Selection'!$B$9)/B38&lt;='Device Selection'!$G$5,G38&lt;='Device Selection'!$B$11),"OK","")</f>
        <v/>
      </c>
    </row>
    <row r="39" spans="1:8">
      <c r="A39" s="43">
        <v>4</v>
      </c>
      <c r="B39" s="43">
        <v>6</v>
      </c>
      <c r="C39" s="44">
        <f>'Device Selection'!$B$4/A39</f>
        <v>300</v>
      </c>
      <c r="D39" s="44">
        <f>'Device Selection'!$B$5*1000/A39/(SQRT(3)*('Device Selection'!$B$7*(C39)/SQRT(2))*'Device Selection'!$B$6)</f>
        <v>214.86752129677006</v>
      </c>
      <c r="E39" s="44">
        <f>A39*3*D39^2*('Device Selection'!$G$6/1000)/B39+A39*6*(('Device Selection'!$G$7+'Device Selection'!$G$8)/1000)*(C39/'Device Selection'!$G$9)*(D39/'Device Selection'!$G$10)*('Device Selection'!$G$11*1000)+A39*'Device Selection'!$B$15</f>
        <v>3555.7728237556689</v>
      </c>
      <c r="F39" s="45">
        <f>'Device Selection'!$B$5/('Device Selection'!$B$5+E39/1000)</f>
        <v>0.98828626189290047</v>
      </c>
      <c r="G39" s="44">
        <f>'Device Selection'!$B$10 + (E39/A39)*'Device Selection'!$G$14 + ((E39/A39-'Device Selection'!$B$15)/(6*B39))*('Device Selection'!$G$12+'Device Selection'!$G$13)</f>
        <v>116.4225896434768</v>
      </c>
      <c r="H39" s="55" t="str">
        <f>IF(AND(C39*(1+'Device Selection'!$B$8)&lt;='Device Selection'!$G$4,D39*(1+'Device Selection'!$B$9)/B39&lt;='Device Selection'!$G$5,G39&lt;='Device Selection'!$B$11),"OK","")</f>
        <v/>
      </c>
    </row>
    <row r="40" spans="1:8">
      <c r="A40" s="43">
        <v>4</v>
      </c>
      <c r="B40" s="43">
        <v>7</v>
      </c>
      <c r="C40" s="44">
        <f>'Device Selection'!$B$4/A40</f>
        <v>300</v>
      </c>
      <c r="D40" s="44">
        <f>'Device Selection'!$B$5*1000/A40/(SQRT(3)*('Device Selection'!$B$7*(C40)/SQRT(2))*'Device Selection'!$B$6)</f>
        <v>214.86752129677006</v>
      </c>
      <c r="E40" s="44">
        <f>A40*3*D40^2*('Device Selection'!$G$6/1000)/B40+A40*6*(('Device Selection'!$G$7+'Device Selection'!$G$8)/1000)*(C40/'Device Selection'!$G$9)*(D40/'Device Selection'!$G$10)*('Device Selection'!$G$11*1000)+A40*'Device Selection'!$B$15</f>
        <v>3489.8184641725002</v>
      </c>
      <c r="F40" s="45">
        <f>'Device Selection'!$B$5/('Device Selection'!$B$5+E40/1000)</f>
        <v>0.98850103610779128</v>
      </c>
      <c r="G40" s="44">
        <f>'Device Selection'!$B$10 + (E40/A40)*'Device Selection'!$G$14 + ((E40/A40-'Device Selection'!$B$15)/(6*B40))*('Device Selection'!$G$12+'Device Selection'!$G$13)</f>
        <v>115.28454911842887</v>
      </c>
      <c r="H40" s="55" t="str">
        <f>IF(AND(C40*(1+'Device Selection'!$B$8)&lt;='Device Selection'!$G$4,D40*(1+'Device Selection'!$B$9)/B40&lt;='Device Selection'!$G$5,G40&lt;='Device Selection'!$B$11),"OK","")</f>
        <v/>
      </c>
    </row>
    <row r="41" spans="1:8">
      <c r="A41" s="43">
        <v>4</v>
      </c>
      <c r="B41" s="43">
        <v>8</v>
      </c>
      <c r="C41" s="44">
        <f>'Device Selection'!$B$4/A41</f>
        <v>300</v>
      </c>
      <c r="D41" s="44">
        <f>'Device Selection'!$B$5*1000/A41/(SQRT(3)*('Device Selection'!$B$7*(C41)/SQRT(2))*'Device Selection'!$B$6)</f>
        <v>214.86752129677006</v>
      </c>
      <c r="E41" s="44">
        <f>A41*3*D41^2*('Device Selection'!$G$6/1000)/B41+A41*6*(('Device Selection'!$G$7+'Device Selection'!$G$8)/1000)*(C41/'Device Selection'!$G$9)*(D41/'Device Selection'!$G$10)*('Device Selection'!$G$11*1000)+A41*'Device Selection'!$B$15</f>
        <v>3440.3526944851242</v>
      </c>
      <c r="F41" s="45">
        <f>'Device Selection'!$B$5/('Device Selection'!$B$5+E41/1000)</f>
        <v>0.98866217803948775</v>
      </c>
      <c r="G41" s="44">
        <f>'Device Selection'!$B$10 + (E41/A41)*'Device Selection'!$G$14 + ((E41/A41-'Device Selection'!$B$15)/(6*B41))*('Device Selection'!$G$12+'Device Selection'!$G$13)</f>
        <v>114.43788897043287</v>
      </c>
      <c r="H41" s="55" t="str">
        <f>IF(AND(C41*(1+'Device Selection'!$B$8)&lt;='Device Selection'!$G$4,D41*(1+'Device Selection'!$B$9)/B41&lt;='Device Selection'!$G$5,G41&lt;='Device Selection'!$B$11),"OK","")</f>
        <v/>
      </c>
    </row>
    <row r="42" spans="1:8">
      <c r="A42" s="43">
        <v>4</v>
      </c>
      <c r="B42" s="43">
        <v>9</v>
      </c>
      <c r="C42" s="44">
        <f>'Device Selection'!$B$4/A42</f>
        <v>300</v>
      </c>
      <c r="D42" s="44">
        <f>'Device Selection'!$B$5*1000/A42/(SQRT(3)*('Device Selection'!$B$7*(C42)/SQRT(2))*'Device Selection'!$B$6)</f>
        <v>214.86752129677006</v>
      </c>
      <c r="E42" s="44">
        <f>A42*3*D42^2*('Device Selection'!$G$6/1000)/B42+A42*6*(('Device Selection'!$G$7+'Device Selection'!$G$8)/1000)*(C42/'Device Selection'!$G$9)*(D42/'Device Selection'!$G$10)*('Device Selection'!$G$11*1000)+A42*'Device Selection'!$B$15</f>
        <v>3401.879318061609</v>
      </c>
      <c r="F42" s="45">
        <f>'Device Selection'!$B$5/('Device Selection'!$B$5+E42/1000)</f>
        <v>0.98878754697990723</v>
      </c>
      <c r="G42" s="44">
        <f>'Device Selection'!$B$10 + (E42/A42)*'Device Selection'!$G$14 + ((E42/A42-'Device Selection'!$B$15)/(6*B42))*('Device Selection'!$G$12+'Device Selection'!$G$13)</f>
        <v>113.7834467787559</v>
      </c>
      <c r="H42" s="55" t="str">
        <f>IF(AND(C42*(1+'Device Selection'!$B$8)&lt;='Device Selection'!$G$4,D42*(1+'Device Selection'!$B$9)/B42&lt;='Device Selection'!$G$5,G42&lt;='Device Selection'!$B$11),"OK","")</f>
        <v/>
      </c>
    </row>
    <row r="43" spans="1:8">
      <c r="A43" s="43">
        <v>4</v>
      </c>
      <c r="B43" s="43">
        <v>10</v>
      </c>
      <c r="C43" s="44">
        <f>'Device Selection'!$B$4/A43</f>
        <v>300</v>
      </c>
      <c r="D43" s="44">
        <f>'Device Selection'!$B$5*1000/A43/(SQRT(3)*('Device Selection'!$B$7*(C43)/SQRT(2))*'Device Selection'!$B$6)</f>
        <v>214.86752129677006</v>
      </c>
      <c r="E43" s="44">
        <f>A43*3*D43^2*('Device Selection'!$G$6/1000)/B43+A43*6*(('Device Selection'!$G$7+'Device Selection'!$G$8)/1000)*(C43/'Device Selection'!$G$9)*(D43/'Device Selection'!$G$10)*('Device Selection'!$G$11*1000)+A43*'Device Selection'!$B$15</f>
        <v>3371.1006169227971</v>
      </c>
      <c r="F43" s="45">
        <f>'Device Selection'!$B$5/('Device Selection'!$B$5+E43/1000)</f>
        <v>0.988887865027132</v>
      </c>
      <c r="G43" s="44">
        <f>'Device Selection'!$B$10 + (E43/A43)*'Device Selection'!$G$14 + ((E43/A43-'Device Selection'!$B$15)/(6*B43))*('Device Selection'!$G$12+'Device Selection'!$G$13)</f>
        <v>113.26245791717589</v>
      </c>
      <c r="H43" s="55" t="str">
        <f>IF(AND(C43*(1+'Device Selection'!$B$8)&lt;='Device Selection'!$G$4,D43*(1+'Device Selection'!$B$9)/B43&lt;='Device Selection'!$G$5,G43&lt;='Device Selection'!$B$11),"OK","")</f>
        <v/>
      </c>
    </row>
    <row r="44" spans="1:8">
      <c r="A44" s="43">
        <v>5</v>
      </c>
      <c r="B44" s="43">
        <v>1</v>
      </c>
      <c r="C44" s="44">
        <f>'Device Selection'!$B$4/A44</f>
        <v>240</v>
      </c>
      <c r="D44" s="44">
        <f>'Device Selection'!$B$5*1000/A44/(SQRT(3)*('Device Selection'!$B$7*(C44)/SQRT(2))*'Device Selection'!$B$6)</f>
        <v>214.86752129677004</v>
      </c>
      <c r="E44" s="44">
        <f>A44*3*D44^2*('Device Selection'!$G$6/1000)/B44+A44*6*(('Device Selection'!$G$7+'Device Selection'!$G$8)/1000)*(C44/'Device Selection'!$G$9)*(D44/'Device Selection'!$G$10)*('Device Selection'!$G$11*1000)+A44*'Device Selection'!$B$15</f>
        <v>6556.6961847898328</v>
      </c>
      <c r="F44" s="45">
        <f>'Device Selection'!$B$5/('Device Selection'!$B$5+E44/1000)</f>
        <v>0.97861179916671115</v>
      </c>
      <c r="G44" s="44">
        <f>'Device Selection'!$B$10 + (E44/A44)*'Device Selection'!$G$14 + ((E44/A44-'Device Selection'!$B$15)/(6*B44))*('Device Selection'!$G$12+'Device Selection'!$G$13)</f>
        <v>153.05148500733787</v>
      </c>
      <c r="H44" s="55" t="str">
        <f>IF(AND(C44*(1+'Device Selection'!$B$8)&lt;='Device Selection'!$G$4,D44*(1+'Device Selection'!$B$9)/B44&lt;='Device Selection'!$G$5,G44&lt;='Device Selection'!$B$11),"OK","")</f>
        <v/>
      </c>
    </row>
    <row r="45" spans="1:8">
      <c r="A45" s="43">
        <v>5</v>
      </c>
      <c r="B45" s="43">
        <v>2</v>
      </c>
      <c r="C45" s="44">
        <f>'Device Selection'!$B$4/A45</f>
        <v>240</v>
      </c>
      <c r="D45" s="44">
        <f>'Device Selection'!$B$5*1000/A45/(SQRT(3)*('Device Selection'!$B$7*(C45)/SQRT(2))*'Device Selection'!$B$6)</f>
        <v>214.86752129677004</v>
      </c>
      <c r="E45" s="44">
        <f>A45*3*D45^2*('Device Selection'!$G$6/1000)/B45+A45*6*(('Device Selection'!$G$7+'Device Selection'!$G$8)/1000)*(C45/'Device Selection'!$G$9)*(D45/'Device Selection'!$G$10)*('Device Selection'!$G$11*1000)+A45*'Device Selection'!$B$15</f>
        <v>4825.3942457316607</v>
      </c>
      <c r="F45" s="45">
        <f>'Device Selection'!$B$5/('Device Selection'!$B$5+E45/1000)</f>
        <v>0.9841699729195077</v>
      </c>
      <c r="G45" s="44">
        <f>'Device Selection'!$B$10 + (E45/A45)*'Device Selection'!$G$14 + ((E45/A45-'Device Selection'!$B$15)/(6*B45))*('Device Selection'!$G$12+'Device Selection'!$G$13)</f>
        <v>124.68780145162549</v>
      </c>
      <c r="H45" s="55" t="str">
        <f>IF(AND(C45*(1+'Device Selection'!$B$8)&lt;='Device Selection'!$G$4,D45*(1+'Device Selection'!$B$9)/B45&lt;='Device Selection'!$G$5,G45&lt;='Device Selection'!$B$11),"OK","")</f>
        <v/>
      </c>
    </row>
    <row r="46" spans="1:8">
      <c r="A46" s="43">
        <v>5</v>
      </c>
      <c r="B46" s="43">
        <v>3</v>
      </c>
      <c r="C46" s="44">
        <f>'Device Selection'!$B$4/A46</f>
        <v>240</v>
      </c>
      <c r="D46" s="44">
        <f>'Device Selection'!$B$5*1000/A46/(SQRT(3)*('Device Selection'!$B$7*(C46)/SQRT(2))*'Device Selection'!$B$6)</f>
        <v>214.86752129677004</v>
      </c>
      <c r="E46" s="44">
        <f>A46*3*D46^2*('Device Selection'!$G$6/1000)/B46+A46*6*(('Device Selection'!$G$7+'Device Selection'!$G$8)/1000)*(C46/'Device Selection'!$G$9)*(D46/'Device Selection'!$G$10)*('Device Selection'!$G$11*1000)+A46*'Device Selection'!$B$15</f>
        <v>4248.293599378937</v>
      </c>
      <c r="F46" s="45">
        <f>'Device Selection'!$B$5/('Device Selection'!$B$5+E46/1000)</f>
        <v>0.98603675455622142</v>
      </c>
      <c r="G46" s="44">
        <f>'Device Selection'!$B$10 + (E46/A46)*'Device Selection'!$G$14 + ((E46/A46-'Device Selection'!$B$15)/(6*B46))*('Device Selection'!$G$12+'Device Selection'!$G$13)</f>
        <v>116.25919697101509</v>
      </c>
      <c r="H46" s="55" t="str">
        <f>IF(AND(C46*(1+'Device Selection'!$B$8)&lt;='Device Selection'!$G$4,D46*(1+'Device Selection'!$B$9)/B46&lt;='Device Selection'!$G$5,G46&lt;='Device Selection'!$B$11),"OK","")</f>
        <v/>
      </c>
    </row>
    <row r="47" spans="1:8">
      <c r="A47" s="43">
        <v>5</v>
      </c>
      <c r="B47" s="43">
        <v>4</v>
      </c>
      <c r="C47" s="44">
        <f>'Device Selection'!$B$4/A47</f>
        <v>240</v>
      </c>
      <c r="D47" s="44">
        <f>'Device Selection'!$B$5*1000/A47/(SQRT(3)*('Device Selection'!$B$7*(C47)/SQRT(2))*'Device Selection'!$B$6)</f>
        <v>214.86752129677004</v>
      </c>
      <c r="E47" s="44">
        <f>A47*3*D47^2*('Device Selection'!$G$6/1000)/B47+A47*6*(('Device Selection'!$G$7+'Device Selection'!$G$8)/1000)*(C47/'Device Selection'!$G$9)*(D47/'Device Selection'!$G$10)*('Device Selection'!$G$11*1000)+A47*'Device Selection'!$B$15</f>
        <v>3959.7432762025746</v>
      </c>
      <c r="F47" s="45">
        <f>'Device Selection'!$B$5/('Device Selection'!$B$5+E47/1000)</f>
        <v>0.98697280359062411</v>
      </c>
      <c r="G47" s="44">
        <f>'Device Selection'!$B$10 + (E47/A47)*'Device Selection'!$G$14 + ((E47/A47-'Device Selection'!$B$15)/(6*B47))*('Device Selection'!$G$12+'Device Selection'!$G$13)</f>
        <v>112.23726161282747</v>
      </c>
      <c r="H47" s="55" t="str">
        <f>IF(AND(C47*(1+'Device Selection'!$B$8)&lt;='Device Selection'!$G$4,D47*(1+'Device Selection'!$B$9)/B47&lt;='Device Selection'!$G$5,G47&lt;='Device Selection'!$B$11),"OK","")</f>
        <v/>
      </c>
    </row>
    <row r="48" spans="1:8">
      <c r="A48" s="43">
        <v>5</v>
      </c>
      <c r="B48" s="43">
        <v>5</v>
      </c>
      <c r="C48" s="44">
        <f>'Device Selection'!$B$4/A48</f>
        <v>240</v>
      </c>
      <c r="D48" s="44">
        <f>'Device Selection'!$B$5*1000/A48/(SQRT(3)*('Device Selection'!$B$7*(C48)/SQRT(2))*'Device Selection'!$B$6)</f>
        <v>214.86752129677004</v>
      </c>
      <c r="E48" s="44">
        <f>A48*3*D48^2*('Device Selection'!$G$6/1000)/B48+A48*6*(('Device Selection'!$G$7+'Device Selection'!$G$8)/1000)*(C48/'Device Selection'!$G$9)*(D48/'Device Selection'!$G$10)*('Device Selection'!$G$11*1000)+A48*'Device Selection'!$B$15</f>
        <v>3786.6130822967575</v>
      </c>
      <c r="F48" s="45">
        <f>'Device Selection'!$B$5/('Device Selection'!$B$5+E48/1000)</f>
        <v>0.98753528654907863</v>
      </c>
      <c r="G48" s="44">
        <f>'Device Selection'!$B$10 + (E48/A48)*'Device Selection'!$G$14 + ((E48/A48-'Device Selection'!$B$15)/(6*B48))*('Device Selection'!$G$12+'Device Selection'!$G$13)</f>
        <v>109.88565780019252</v>
      </c>
      <c r="H48" s="55" t="str">
        <f>IF(AND(C48*(1+'Device Selection'!$B$8)&lt;='Device Selection'!$G$4,D48*(1+'Device Selection'!$B$9)/B48&lt;='Device Selection'!$G$5,G48&lt;='Device Selection'!$B$11),"OK","")</f>
        <v/>
      </c>
    </row>
    <row r="49" spans="1:8">
      <c r="A49" s="43">
        <v>5</v>
      </c>
      <c r="B49" s="43">
        <v>6</v>
      </c>
      <c r="C49" s="44">
        <f>'Device Selection'!$B$4/A49</f>
        <v>240</v>
      </c>
      <c r="D49" s="44">
        <f>'Device Selection'!$B$5*1000/A49/(SQRT(3)*('Device Selection'!$B$7*(C49)/SQRT(2))*'Device Selection'!$B$6)</f>
        <v>214.86752129677004</v>
      </c>
      <c r="E49" s="44">
        <f>A49*3*D49^2*('Device Selection'!$G$6/1000)/B49+A49*6*(('Device Selection'!$G$7+'Device Selection'!$G$8)/1000)*(C49/'Device Selection'!$G$9)*(D49/'Device Selection'!$G$10)*('Device Selection'!$G$11*1000)+A49*'Device Selection'!$B$15</f>
        <v>3671.1929530262128</v>
      </c>
      <c r="F49" s="45">
        <f>'Device Selection'!$B$5/('Device Selection'!$B$5+E49/1000)</f>
        <v>0.98791063150466796</v>
      </c>
      <c r="G49" s="44">
        <f>'Device Selection'!$B$10 + (E49/A49)*'Device Selection'!$G$14 + ((E49/A49-'Device Selection'!$B$15)/(6*B49))*('Device Selection'!$G$12+'Device Selection'!$G$13)</f>
        <v>108.34357084271822</v>
      </c>
      <c r="H49" s="55" t="str">
        <f>IF(AND(C49*(1+'Device Selection'!$B$8)&lt;='Device Selection'!$G$4,D49*(1+'Device Selection'!$B$9)/B49&lt;='Device Selection'!$G$5,G49&lt;='Device Selection'!$B$11),"OK","")</f>
        <v/>
      </c>
    </row>
    <row r="50" spans="1:8">
      <c r="A50" s="43">
        <v>5</v>
      </c>
      <c r="B50" s="43">
        <v>7</v>
      </c>
      <c r="C50" s="44">
        <f>'Device Selection'!$B$4/A50</f>
        <v>240</v>
      </c>
      <c r="D50" s="44">
        <f>'Device Selection'!$B$5*1000/A50/(SQRT(3)*('Device Selection'!$B$7*(C50)/SQRT(2))*'Device Selection'!$B$6)</f>
        <v>214.86752129677004</v>
      </c>
      <c r="E50" s="44">
        <f>A50*3*D50^2*('Device Selection'!$G$6/1000)/B50+A50*6*(('Device Selection'!$G$7+'Device Selection'!$G$8)/1000)*(C50/'Device Selection'!$G$9)*(D50/'Device Selection'!$G$10)*('Device Selection'!$G$11*1000)+A50*'Device Selection'!$B$15</f>
        <v>3588.7500035472522</v>
      </c>
      <c r="F50" s="45">
        <f>'Device Selection'!$B$5/('Device Selection'!$B$5+E50/1000)</f>
        <v>0.9881789097800715</v>
      </c>
      <c r="G50" s="44">
        <f>'Device Selection'!$B$10 + (E50/A50)*'Device Selection'!$G$14 + ((E50/A50-'Device Selection'!$B$15)/(6*B50))*('Device Selection'!$G$12+'Device Selection'!$G$13)</f>
        <v>107.25464289396672</v>
      </c>
      <c r="H50" s="55" t="str">
        <f>IF(AND(C50*(1+'Device Selection'!$B$8)&lt;='Device Selection'!$G$4,D50*(1+'Device Selection'!$B$9)/B50&lt;='Device Selection'!$G$5,G50&lt;='Device Selection'!$B$11),"OK","")</f>
        <v/>
      </c>
    </row>
    <row r="51" spans="1:8">
      <c r="A51" s="43">
        <v>5</v>
      </c>
      <c r="B51" s="43">
        <v>8</v>
      </c>
      <c r="C51" s="44">
        <f>'Device Selection'!$B$4/A51</f>
        <v>240</v>
      </c>
      <c r="D51" s="44">
        <f>'Device Selection'!$B$5*1000/A51/(SQRT(3)*('Device Selection'!$B$7*(C51)/SQRT(2))*'Device Selection'!$B$6)</f>
        <v>214.86752129677004</v>
      </c>
      <c r="E51" s="44">
        <f>A51*3*D51^2*('Device Selection'!$G$6/1000)/B51+A51*6*(('Device Selection'!$G$7+'Device Selection'!$G$8)/1000)*(C51/'Device Selection'!$G$9)*(D51/'Device Selection'!$G$10)*('Device Selection'!$G$11*1000)+A51*'Device Selection'!$B$15</f>
        <v>3526.9177914380316</v>
      </c>
      <c r="F51" s="45">
        <f>'Device Selection'!$B$5/('Device Selection'!$B$5+E51/1000)</f>
        <v>0.98838021412696753</v>
      </c>
      <c r="G51" s="44">
        <f>'Device Selection'!$B$10 + (E51/A51)*'Device Selection'!$G$14 + ((E51/A51-'Device Selection'!$B$15)/(6*B51))*('Device Selection'!$G$12+'Device Selection'!$G$13)</f>
        <v>106.44481717819301</v>
      </c>
      <c r="H51" s="55" t="str">
        <f>IF(AND(C51*(1+'Device Selection'!$B$8)&lt;='Device Selection'!$G$4,D51*(1+'Device Selection'!$B$9)/B51&lt;='Device Selection'!$G$5,G51&lt;='Device Selection'!$B$11),"OK","")</f>
        <v/>
      </c>
    </row>
    <row r="52" spans="1:8">
      <c r="A52" s="43">
        <v>5</v>
      </c>
      <c r="B52" s="43">
        <v>9</v>
      </c>
      <c r="C52" s="44">
        <f>'Device Selection'!$B$4/A52</f>
        <v>240</v>
      </c>
      <c r="D52" s="44">
        <f>'Device Selection'!$B$5*1000/A52/(SQRT(3)*('Device Selection'!$B$7*(C52)/SQRT(2))*'Device Selection'!$B$6)</f>
        <v>214.86752129677004</v>
      </c>
      <c r="E52" s="44">
        <f>A52*3*D52^2*('Device Selection'!$G$6/1000)/B52+A52*6*(('Device Selection'!$G$7+'Device Selection'!$G$8)/1000)*(C52/'Device Selection'!$G$9)*(D52/'Device Selection'!$G$10)*('Device Selection'!$G$11*1000)+A52*'Device Selection'!$B$15</f>
        <v>3478.826070908638</v>
      </c>
      <c r="F52" s="45">
        <f>'Device Selection'!$B$5/('Device Selection'!$B$5+E52/1000)</f>
        <v>0.98853684088623772</v>
      </c>
      <c r="G52" s="44">
        <f>'Device Selection'!$B$10 + (E52/A52)*'Device Selection'!$G$14 + ((E52/A52-'Device Selection'!$B$15)/(6*B52))*('Device Selection'!$G$12+'Device Selection'!$G$13)</f>
        <v>105.81902398935561</v>
      </c>
      <c r="H52" s="55" t="str">
        <f>IF(AND(C52*(1+'Device Selection'!$B$8)&lt;='Device Selection'!$G$4,D52*(1+'Device Selection'!$B$9)/B52&lt;='Device Selection'!$G$5,G52&lt;='Device Selection'!$B$11),"OK","")</f>
        <v/>
      </c>
    </row>
    <row r="53" spans="1:8">
      <c r="A53" s="43">
        <v>5</v>
      </c>
      <c r="B53" s="43">
        <v>10</v>
      </c>
      <c r="C53" s="44">
        <f>'Device Selection'!$B$4/A53</f>
        <v>240</v>
      </c>
      <c r="D53" s="44">
        <f>'Device Selection'!$B$5*1000/A53/(SQRT(3)*('Device Selection'!$B$7*(C53)/SQRT(2))*'Device Selection'!$B$6)</f>
        <v>214.86752129677004</v>
      </c>
      <c r="E53" s="44">
        <f>A53*3*D53^2*('Device Selection'!$G$6/1000)/B53+A53*6*(('Device Selection'!$G$7+'Device Selection'!$G$8)/1000)*(C53/'Device Selection'!$G$9)*(D53/'Device Selection'!$G$10)*('Device Selection'!$G$11*1000)+A53*'Device Selection'!$B$15</f>
        <v>3440.3526944851228</v>
      </c>
      <c r="F53" s="45">
        <f>'Device Selection'!$B$5/('Device Selection'!$B$5+E53/1000)</f>
        <v>0.98866217803948775</v>
      </c>
      <c r="G53" s="44">
        <f>'Device Selection'!$B$10 + (E53/A53)*'Device Selection'!$G$14 + ((E53/A53-'Device Selection'!$B$15)/(6*B53))*('Device Selection'!$G$12+'Device Selection'!$G$13)</f>
        <v>105.32095433004726</v>
      </c>
      <c r="H53" s="55" t="str">
        <f>IF(AND(C53*(1+'Device Selection'!$B$8)&lt;='Device Selection'!$G$4,D53*(1+'Device Selection'!$B$9)/B53&lt;='Device Selection'!$G$5,G53&lt;='Device Selection'!$B$11),"OK","")</f>
        <v/>
      </c>
    </row>
    <row r="54" spans="1:8">
      <c r="A54" s="43">
        <v>6</v>
      </c>
      <c r="B54" s="43">
        <v>1</v>
      </c>
      <c r="C54" s="44">
        <f>'Device Selection'!$B$4/A54</f>
        <v>200</v>
      </c>
      <c r="D54" s="44">
        <f>'Device Selection'!$B$5*1000/A54/(SQRT(3)*('Device Selection'!$B$7*(C54)/SQRT(2))*'Device Selection'!$B$6)</f>
        <v>214.86752129677006</v>
      </c>
      <c r="E54" s="44">
        <f>A54*3*D54^2*('Device Selection'!$G$6/1000)/B54+A54*6*(('Device Selection'!$G$7+'Device Selection'!$G$8)/1000)*(C54/'Device Selection'!$G$9)*(D54/'Device Selection'!$G$10)*('Device Selection'!$G$11*1000)+A54*'Device Selection'!$B$15</f>
        <v>7249.2169604131041</v>
      </c>
      <c r="F54" s="45">
        <f>'Device Selection'!$B$5/('Device Selection'!$B$5+E54/1000)</f>
        <v>0.97640606855851775</v>
      </c>
      <c r="G54" s="44">
        <f>'Device Selection'!$B$10 + (E54/A54)*'Device Selection'!$G$14 + ((E54/A54-'Device Selection'!$B$15)/(6*B54))*('Device Selection'!$G$12+'Device Selection'!$G$13)</f>
        <v>146.51951235991609</v>
      </c>
      <c r="H54" s="55" t="str">
        <f>IF(AND(C54*(1+'Device Selection'!$B$8)&lt;='Device Selection'!$G$4,D54*(1+'Device Selection'!$B$9)/B54&lt;='Device Selection'!$G$5,G54&lt;='Device Selection'!$B$11),"OK","")</f>
        <v/>
      </c>
    </row>
    <row r="55" spans="1:8">
      <c r="A55" s="43">
        <v>6</v>
      </c>
      <c r="B55" s="43">
        <v>2</v>
      </c>
      <c r="C55" s="44">
        <f>'Device Selection'!$B$4/A55</f>
        <v>200</v>
      </c>
      <c r="D55" s="44">
        <f>'Device Selection'!$B$5*1000/A55/(SQRT(3)*('Device Selection'!$B$7*(C55)/SQRT(2))*'Device Selection'!$B$6)</f>
        <v>214.86752129677006</v>
      </c>
      <c r="E55" s="44">
        <f>A55*3*D55^2*('Device Selection'!$G$6/1000)/B55+A55*6*(('Device Selection'!$G$7+'Device Selection'!$G$8)/1000)*(C55/'Device Selection'!$G$9)*(D55/'Device Selection'!$G$10)*('Device Selection'!$G$11*1000)+A55*'Device Selection'!$B$15</f>
        <v>5171.6546335432968</v>
      </c>
      <c r="F55" s="45">
        <f>'Device Selection'!$B$5/('Device Selection'!$B$5+E55/1000)</f>
        <v>0.98305329294179189</v>
      </c>
      <c r="G55" s="44">
        <f>'Device Selection'!$B$10 + (E55/A55)*'Device Selection'!$G$14 + ((E55/A55-'Device Selection'!$B$15)/(6*B55))*('Device Selection'!$G$12+'Device Selection'!$G$13)</f>
        <v>118.84340487235336</v>
      </c>
      <c r="H55" s="55" t="str">
        <f>IF(AND(C55*(1+'Device Selection'!$B$8)&lt;='Device Selection'!$G$4,D55*(1+'Device Selection'!$B$9)/B55&lt;='Device Selection'!$G$5,G55&lt;='Device Selection'!$B$11),"OK","")</f>
        <v/>
      </c>
    </row>
    <row r="56" spans="1:8">
      <c r="A56" s="43">
        <v>6</v>
      </c>
      <c r="B56" s="43">
        <v>3</v>
      </c>
      <c r="C56" s="44">
        <f>'Device Selection'!$B$4/A56</f>
        <v>200</v>
      </c>
      <c r="D56" s="44">
        <f>'Device Selection'!$B$5*1000/A56/(SQRT(3)*('Device Selection'!$B$7*(C56)/SQRT(2))*'Device Selection'!$B$6)</f>
        <v>214.86752129677006</v>
      </c>
      <c r="E56" s="44">
        <f>A56*3*D56^2*('Device Selection'!$G$6/1000)/B56+A56*6*(('Device Selection'!$G$7+'Device Selection'!$G$8)/1000)*(C56/'Device Selection'!$G$9)*(D56/'Device Selection'!$G$10)*('Device Selection'!$G$11*1000)+A56*'Device Selection'!$B$15</f>
        <v>4479.1338579200274</v>
      </c>
      <c r="F56" s="45">
        <f>'Device Selection'!$B$5/('Device Selection'!$B$5+E56/1000)</f>
        <v>0.98528919272343263</v>
      </c>
      <c r="G56" s="44">
        <f>'Device Selection'!$B$10 + (E56/A56)*'Device Selection'!$G$14 + ((E56/A56-'Device Selection'!$B$15)/(6*B56))*('Device Selection'!$G$12+'Device Selection'!$G$13)</f>
        <v>110.6439924144595</v>
      </c>
      <c r="H56" s="55" t="str">
        <f>IF(AND(C56*(1+'Device Selection'!$B$8)&lt;='Device Selection'!$G$4,D56*(1+'Device Selection'!$B$9)/B56&lt;='Device Selection'!$G$5,G56&lt;='Device Selection'!$B$11),"OK","")</f>
        <v/>
      </c>
    </row>
    <row r="57" spans="1:8">
      <c r="A57" s="43">
        <v>6</v>
      </c>
      <c r="B57" s="43">
        <v>4</v>
      </c>
      <c r="C57" s="44">
        <f>'Device Selection'!$B$4/A57</f>
        <v>200</v>
      </c>
      <c r="D57" s="44">
        <f>'Device Selection'!$B$5*1000/A57/(SQRT(3)*('Device Selection'!$B$7*(C57)/SQRT(2))*'Device Selection'!$B$6)</f>
        <v>214.86752129677006</v>
      </c>
      <c r="E57" s="44">
        <f>A57*3*D57^2*('Device Selection'!$G$6/1000)/B57+A57*6*(('Device Selection'!$G$7+'Device Selection'!$G$8)/1000)*(C57/'Device Selection'!$G$9)*(D57/'Device Selection'!$G$10)*('Device Selection'!$G$11*1000)+A57*'Device Selection'!$B$15</f>
        <v>4132.8734701083931</v>
      </c>
      <c r="F57" s="45">
        <f>'Device Selection'!$B$5/('Device Selection'!$B$5+E57/1000)</f>
        <v>0.98641096102847103</v>
      </c>
      <c r="G57" s="44">
        <f>'Device Selection'!$B$10 + (E57/A57)*'Device Selection'!$G$14 + ((E57/A57-'Device Selection'!$B$15)/(6*B57))*('Device Selection'!$G$12+'Device Selection'!$G$13)</f>
        <v>106.73665306763017</v>
      </c>
      <c r="H57" s="55" t="str">
        <f>IF(AND(C57*(1+'Device Selection'!$B$8)&lt;='Device Selection'!$G$4,D57*(1+'Device Selection'!$B$9)/B57&lt;='Device Selection'!$G$5,G57&lt;='Device Selection'!$B$11),"OK","")</f>
        <v/>
      </c>
    </row>
    <row r="58" spans="1:8">
      <c r="A58" s="43">
        <v>6</v>
      </c>
      <c r="B58" s="43">
        <v>5</v>
      </c>
      <c r="C58" s="44">
        <f>'Device Selection'!$B$4/A58</f>
        <v>200</v>
      </c>
      <c r="D58" s="44">
        <f>'Device Selection'!$B$5*1000/A58/(SQRT(3)*('Device Selection'!$B$7*(C58)/SQRT(2))*'Device Selection'!$B$6)</f>
        <v>214.86752129677006</v>
      </c>
      <c r="E58" s="44">
        <f>A58*3*D58^2*('Device Selection'!$G$6/1000)/B58+A58*6*(('Device Selection'!$G$7+'Device Selection'!$G$8)/1000)*(C58/'Device Selection'!$G$9)*(D58/'Device Selection'!$G$10)*('Device Selection'!$G$11*1000)+A58*'Device Selection'!$B$15</f>
        <v>3925.1172374214125</v>
      </c>
      <c r="F58" s="45">
        <f>'Device Selection'!$B$5/('Device Selection'!$B$5+E58/1000)</f>
        <v>0.98708524891559002</v>
      </c>
      <c r="G58" s="44">
        <f>'Device Selection'!$B$10 + (E58/A58)*'Device Selection'!$G$14 + ((E58/A58-'Device Selection'!$B$15)/(6*B58))*('Device Selection'!$G$12+'Device Selection'!$G$13)</f>
        <v>104.45380686181019</v>
      </c>
      <c r="H58" s="55" t="str">
        <f>IF(AND(C58*(1+'Device Selection'!$B$8)&lt;='Device Selection'!$G$4,D58*(1+'Device Selection'!$B$9)/B58&lt;='Device Selection'!$G$5,G58&lt;='Device Selection'!$B$11),"OK","")</f>
        <v/>
      </c>
    </row>
    <row r="59" spans="1:8">
      <c r="A59" s="43">
        <v>6</v>
      </c>
      <c r="B59" s="43">
        <v>6</v>
      </c>
      <c r="C59" s="44">
        <f>'Device Selection'!$B$4/A59</f>
        <v>200</v>
      </c>
      <c r="D59" s="44">
        <f>'Device Selection'!$B$5*1000/A59/(SQRT(3)*('Device Selection'!$B$7*(C59)/SQRT(2))*'Device Selection'!$B$6)</f>
        <v>214.86752129677006</v>
      </c>
      <c r="E59" s="44">
        <f>A59*3*D59^2*('Device Selection'!$G$6/1000)/B59+A59*6*(('Device Selection'!$G$7+'Device Selection'!$G$8)/1000)*(C59/'Device Selection'!$G$9)*(D59/'Device Selection'!$G$10)*('Device Selection'!$G$11*1000)+A59*'Device Selection'!$B$15</f>
        <v>3786.6130822967584</v>
      </c>
      <c r="F59" s="45">
        <f>'Device Selection'!$B$5/('Device Selection'!$B$5+E59/1000)</f>
        <v>0.98753528654907863</v>
      </c>
      <c r="G59" s="44">
        <f>'Device Selection'!$B$10 + (E59/A59)*'Device Selection'!$G$14 + ((E59/A59-'Device Selection'!$B$15)/(6*B59))*('Device Selection'!$G$12+'Device Selection'!$G$13)</f>
        <v>102.95755830887919</v>
      </c>
      <c r="H59" s="55" t="str">
        <f>IF(AND(C59*(1+'Device Selection'!$B$8)&lt;='Device Selection'!$G$4,D59*(1+'Device Selection'!$B$9)/B59&lt;='Device Selection'!$G$5,G59&lt;='Device Selection'!$B$11),"OK","")</f>
        <v/>
      </c>
    </row>
    <row r="60" spans="1:8">
      <c r="A60" s="43">
        <v>6</v>
      </c>
      <c r="B60" s="43">
        <v>7</v>
      </c>
      <c r="C60" s="44">
        <f>'Device Selection'!$B$4/A60</f>
        <v>200</v>
      </c>
      <c r="D60" s="44">
        <f>'Device Selection'!$B$5*1000/A60/(SQRT(3)*('Device Selection'!$B$7*(C60)/SQRT(2))*'Device Selection'!$B$6)</f>
        <v>214.86752129677006</v>
      </c>
      <c r="E60" s="44">
        <f>A60*3*D60^2*('Device Selection'!$G$6/1000)/B60+A60*6*(('Device Selection'!$G$7+'Device Selection'!$G$8)/1000)*(C60/'Device Selection'!$G$9)*(D60/'Device Selection'!$G$10)*('Device Selection'!$G$11*1000)+A60*'Device Selection'!$B$15</f>
        <v>3687.681542922006</v>
      </c>
      <c r="F60" s="45">
        <f>'Device Selection'!$B$5/('Device Selection'!$B$5+E60/1000)</f>
        <v>0.98785699332884924</v>
      </c>
      <c r="G60" s="44">
        <f>'Device Selection'!$B$10 + (E60/A60)*'Device Selection'!$G$14 + ((E60/A60-'Device Selection'!$B$15)/(6*B60))*('Device Selection'!$G$12+'Device Selection'!$G$13)</f>
        <v>101.90137207765862</v>
      </c>
      <c r="H60" s="55" t="str">
        <f>IF(AND(C60*(1+'Device Selection'!$B$8)&lt;='Device Selection'!$G$4,D60*(1+'Device Selection'!$B$9)/B60&lt;='Device Selection'!$G$5,G60&lt;='Device Selection'!$B$11),"OK","")</f>
        <v/>
      </c>
    </row>
    <row r="61" spans="1:8">
      <c r="A61" s="43">
        <v>6</v>
      </c>
      <c r="B61" s="43">
        <v>8</v>
      </c>
      <c r="C61" s="44">
        <f>'Device Selection'!$B$4/A61</f>
        <v>200</v>
      </c>
      <c r="D61" s="44">
        <f>'Device Selection'!$B$5*1000/A61/(SQRT(3)*('Device Selection'!$B$7*(C61)/SQRT(2))*'Device Selection'!$B$6)</f>
        <v>214.86752129677006</v>
      </c>
      <c r="E61" s="44">
        <f>A61*3*D61^2*('Device Selection'!$G$6/1000)/B61+A61*6*(('Device Selection'!$G$7+'Device Selection'!$G$8)/1000)*(C61/'Device Selection'!$G$9)*(D61/'Device Selection'!$G$10)*('Device Selection'!$G$11*1000)+A61*'Device Selection'!$B$15</f>
        <v>3613.4828883909413</v>
      </c>
      <c r="F61" s="45">
        <f>'Device Selection'!$B$5/('Device Selection'!$B$5+E61/1000)</f>
        <v>0.98809841099935847</v>
      </c>
      <c r="G61" s="44">
        <f>'Device Selection'!$B$10 + (E61/A61)*'Device Selection'!$G$14 + ((E61/A61-'Device Selection'!$B$15)/(6*B61))*('Device Selection'!$G$12+'Device Selection'!$G$13)</f>
        <v>101.11610265003311</v>
      </c>
      <c r="H61" s="55" t="str">
        <f>IF(AND(C61*(1+'Device Selection'!$B$8)&lt;='Device Selection'!$G$4,D61*(1+'Device Selection'!$B$9)/B61&lt;='Device Selection'!$G$5,G61&lt;='Device Selection'!$B$11),"OK","")</f>
        <v/>
      </c>
    </row>
    <row r="62" spans="1:8">
      <c r="A62" s="43">
        <v>6</v>
      </c>
      <c r="B62" s="43">
        <v>9</v>
      </c>
      <c r="C62" s="44">
        <f>'Device Selection'!$B$4/A62</f>
        <v>200</v>
      </c>
      <c r="D62" s="44">
        <f>'Device Selection'!$B$5*1000/A62/(SQRT(3)*('Device Selection'!$B$7*(C62)/SQRT(2))*'Device Selection'!$B$6)</f>
        <v>214.86752129677006</v>
      </c>
      <c r="E62" s="44">
        <f>A62*3*D62^2*('Device Selection'!$G$6/1000)/B62+A62*6*(('Device Selection'!$G$7+'Device Selection'!$G$8)/1000)*(C62/'Device Selection'!$G$9)*(D62/'Device Selection'!$G$10)*('Device Selection'!$G$11*1000)+A62*'Device Selection'!$B$15</f>
        <v>3555.7728237556689</v>
      </c>
      <c r="F62" s="45">
        <f>'Device Selection'!$B$5/('Device Selection'!$B$5+E62/1000)</f>
        <v>0.98828626189290047</v>
      </c>
      <c r="G62" s="44">
        <f>'Device Selection'!$B$10 + (E62/A62)*'Device Selection'!$G$14 + ((E62/A62-'Device Selection'!$B$15)/(6*B62))*('Device Selection'!$G$12+'Device Selection'!$G$13)</f>
        <v>100.50940879642211</v>
      </c>
      <c r="H62" s="55" t="str">
        <f>IF(AND(C62*(1+'Device Selection'!$B$8)&lt;='Device Selection'!$G$4,D62*(1+'Device Selection'!$B$9)/B62&lt;='Device Selection'!$G$5,G62&lt;='Device Selection'!$B$11),"OK","")</f>
        <v/>
      </c>
    </row>
    <row r="63" spans="1:8">
      <c r="A63" s="43">
        <v>6</v>
      </c>
      <c r="B63" s="43">
        <v>10</v>
      </c>
      <c r="C63" s="44">
        <f>'Device Selection'!$B$4/A63</f>
        <v>200</v>
      </c>
      <c r="D63" s="44">
        <f>'Device Selection'!$B$5*1000/A63/(SQRT(3)*('Device Selection'!$B$7*(C63)/SQRT(2))*'Device Selection'!$B$6)</f>
        <v>214.86752129677006</v>
      </c>
      <c r="E63" s="44">
        <f>A63*3*D63^2*('Device Selection'!$G$6/1000)/B63+A63*6*(('Device Selection'!$G$7+'Device Selection'!$G$8)/1000)*(C63/'Device Selection'!$G$9)*(D63/'Device Selection'!$G$10)*('Device Selection'!$G$11*1000)+A63*'Device Selection'!$B$15</f>
        <v>3509.6047720474508</v>
      </c>
      <c r="F63" s="45">
        <f>'Device Selection'!$B$5/('Device Selection'!$B$5+E63/1000)</f>
        <v>0.98843659404227635</v>
      </c>
      <c r="G63" s="44">
        <f>'Device Selection'!$B$10 + (E63/A63)*'Device Selection'!$G$14 + ((E63/A63-'Device Selection'!$B$15)/(6*B63))*('Device Selection'!$G$12+'Device Selection'!$G$13)</f>
        <v>100.02661860529486</v>
      </c>
      <c r="H63" s="55" t="str">
        <f>IF(AND(C63*(1+'Device Selection'!$B$8)&lt;='Device Selection'!$G$4,D63*(1+'Device Selection'!$B$9)/B63&lt;='Device Selection'!$G$5,G63&lt;='Device Selection'!$B$11),"OK","")</f>
        <v/>
      </c>
    </row>
    <row r="64" spans="1:8">
      <c r="A64" s="43">
        <v>7</v>
      </c>
      <c r="B64" s="43">
        <v>1</v>
      </c>
      <c r="C64" s="44">
        <f>'Device Selection'!$B$4/A64</f>
        <v>171.42857142857142</v>
      </c>
      <c r="D64" s="44">
        <f>'Device Selection'!$B$5*1000/A64/(SQRT(3)*('Device Selection'!$B$7*(C64)/SQRT(2))*'Device Selection'!$B$6)</f>
        <v>214.86752129677006</v>
      </c>
      <c r="E64" s="44">
        <f>A64*3*D64^2*('Device Selection'!$G$6/1000)/B64+A64*6*(('Device Selection'!$G$7+'Device Selection'!$G$8)/1000)*(C64/'Device Selection'!$G$9)*(D64/'Device Selection'!$G$10)*('Device Selection'!$G$11*1000)+A64*'Device Selection'!$B$15</f>
        <v>7941.7377360363735</v>
      </c>
      <c r="F64" s="45">
        <f>'Device Selection'!$B$5/('Device Selection'!$B$5+E64/1000)</f>
        <v>0.97421025875081624</v>
      </c>
      <c r="G64" s="44">
        <f>'Device Selection'!$B$10 + (E64/A64)*'Device Selection'!$G$14 + ((E64/A64-'Device Selection'!$B$15)/(6*B64))*('Device Selection'!$G$12+'Device Selection'!$G$13)</f>
        <v>141.85381761175768</v>
      </c>
      <c r="H64" s="55" t="str">
        <f>IF(AND(C64*(1+'Device Selection'!$B$8)&lt;='Device Selection'!$G$4,D64*(1+'Device Selection'!$B$9)/B64&lt;='Device Selection'!$G$5,G64&lt;='Device Selection'!$B$11),"OK","")</f>
        <v/>
      </c>
    </row>
    <row r="65" spans="1:8">
      <c r="A65" s="43">
        <v>7</v>
      </c>
      <c r="B65" s="43">
        <v>2</v>
      </c>
      <c r="C65" s="44">
        <f>'Device Selection'!$B$4/A65</f>
        <v>171.42857142857142</v>
      </c>
      <c r="D65" s="44">
        <f>'Device Selection'!$B$5*1000/A65/(SQRT(3)*('Device Selection'!$B$7*(C65)/SQRT(2))*'Device Selection'!$B$6)</f>
        <v>214.86752129677006</v>
      </c>
      <c r="E65" s="44">
        <f>A65*3*D65^2*('Device Selection'!$G$6/1000)/B65+A65*6*(('Device Selection'!$G$7+'Device Selection'!$G$8)/1000)*(C65/'Device Selection'!$G$9)*(D65/'Device Selection'!$G$10)*('Device Selection'!$G$11*1000)+A65*'Device Selection'!$B$15</f>
        <v>5517.915021354931</v>
      </c>
      <c r="F65" s="45">
        <f>'Device Selection'!$B$5/('Device Selection'!$B$5+E65/1000)</f>
        <v>0.98193914415470773</v>
      </c>
      <c r="G65" s="44">
        <f>'Device Selection'!$B$10 + (E65/A65)*'Device Selection'!$G$14 + ((E65/A65-'Device Selection'!$B$15)/(6*B65))*('Device Selection'!$G$12+'Device Selection'!$G$13)</f>
        <v>114.66883588715898</v>
      </c>
      <c r="H65" s="55" t="str">
        <f>IF(AND(C65*(1+'Device Selection'!$B$8)&lt;='Device Selection'!$G$4,D65*(1+'Device Selection'!$B$9)/B65&lt;='Device Selection'!$G$5,G65&lt;='Device Selection'!$B$11),"OK","")</f>
        <v/>
      </c>
    </row>
    <row r="66" spans="1:8">
      <c r="A66" s="43">
        <v>7</v>
      </c>
      <c r="B66" s="43">
        <v>3</v>
      </c>
      <c r="C66" s="44">
        <f>'Device Selection'!$B$4/A66</f>
        <v>171.42857142857142</v>
      </c>
      <c r="D66" s="44">
        <f>'Device Selection'!$B$5*1000/A66/(SQRT(3)*('Device Selection'!$B$7*(C66)/SQRT(2))*'Device Selection'!$B$6)</f>
        <v>214.86752129677006</v>
      </c>
      <c r="E66" s="44">
        <f>A66*3*D66^2*('Device Selection'!$G$6/1000)/B66+A66*6*(('Device Selection'!$G$7+'Device Selection'!$G$8)/1000)*(C66/'Device Selection'!$G$9)*(D66/'Device Selection'!$G$10)*('Device Selection'!$G$11*1000)+A66*'Device Selection'!$B$15</f>
        <v>4709.9741164611178</v>
      </c>
      <c r="F66" s="45">
        <f>'Device Selection'!$B$5/('Device Selection'!$B$5+E66/1000)</f>
        <v>0.98454276355699155</v>
      </c>
      <c r="G66" s="44">
        <f>'Device Selection'!$B$10 + (E66/A66)*'Device Selection'!$G$14 + ((E66/A66-'Device Selection'!$B$15)/(6*B66))*('Device Selection'!$G$12+'Device Selection'!$G$13)</f>
        <v>106.63313201691982</v>
      </c>
      <c r="H66" s="55" t="str">
        <f>IF(AND(C66*(1+'Device Selection'!$B$8)&lt;='Device Selection'!$G$4,D66*(1+'Device Selection'!$B$9)/B66&lt;='Device Selection'!$G$5,G66&lt;='Device Selection'!$B$11),"OK","")</f>
        <v/>
      </c>
    </row>
    <row r="67" spans="1:8">
      <c r="A67" s="43">
        <v>7</v>
      </c>
      <c r="B67" s="43">
        <v>4</v>
      </c>
      <c r="C67" s="44">
        <f>'Device Selection'!$B$4/A67</f>
        <v>171.42857142857142</v>
      </c>
      <c r="D67" s="44">
        <f>'Device Selection'!$B$5*1000/A67/(SQRT(3)*('Device Selection'!$B$7*(C67)/SQRT(2))*'Device Selection'!$B$6)</f>
        <v>214.86752129677006</v>
      </c>
      <c r="E67" s="44">
        <f>A67*3*D67^2*('Device Selection'!$G$6/1000)/B67+A67*6*(('Device Selection'!$G$7+'Device Selection'!$G$8)/1000)*(C67/'Device Selection'!$G$9)*(D67/'Device Selection'!$G$10)*('Device Selection'!$G$11*1000)+A67*'Device Selection'!$B$15</f>
        <v>4306.0036640142107</v>
      </c>
      <c r="F67" s="45">
        <f>'Device Selection'!$B$5/('Device Selection'!$B$5+E67/1000)</f>
        <v>0.98584975776958872</v>
      </c>
      <c r="G67" s="44">
        <f>'Device Selection'!$B$10 + (E67/A67)*'Device Selection'!$G$14 + ((E67/A67-'Device Selection'!$B$15)/(6*B67))*('Device Selection'!$G$12+'Device Selection'!$G$13)</f>
        <v>102.80764696391779</v>
      </c>
      <c r="H67" s="55" t="str">
        <f>IF(AND(C67*(1+'Device Selection'!$B$8)&lt;='Device Selection'!$G$4,D67*(1+'Device Selection'!$B$9)/B67&lt;='Device Selection'!$G$5,G67&lt;='Device Selection'!$B$11),"OK","")</f>
        <v/>
      </c>
    </row>
    <row r="68" spans="1:8">
      <c r="A68" s="43">
        <v>7</v>
      </c>
      <c r="B68" s="43">
        <v>5</v>
      </c>
      <c r="C68" s="44">
        <f>'Device Selection'!$B$4/A68</f>
        <v>171.42857142857142</v>
      </c>
      <c r="D68" s="44">
        <f>'Device Selection'!$B$5*1000/A68/(SQRT(3)*('Device Selection'!$B$7*(C68)/SQRT(2))*'Device Selection'!$B$6)</f>
        <v>214.86752129677006</v>
      </c>
      <c r="E68" s="44">
        <f>A68*3*D68^2*('Device Selection'!$G$6/1000)/B68+A68*6*(('Device Selection'!$G$7+'Device Selection'!$G$8)/1000)*(C68/'Device Selection'!$G$9)*(D68/'Device Selection'!$G$10)*('Device Selection'!$G$11*1000)+A68*'Device Selection'!$B$15</f>
        <v>4063.6213925460661</v>
      </c>
      <c r="F68" s="45">
        <f>'Device Selection'!$B$5/('Device Selection'!$B$5+E68/1000)</f>
        <v>0.98663562127578586</v>
      </c>
      <c r="G68" s="44">
        <f>'Device Selection'!$B$10 + (E68/A68)*'Device Selection'!$G$14 + ((E68/A68-'Device Selection'!$B$15)/(6*B68))*('Device Selection'!$G$12+'Device Selection'!$G$13)</f>
        <v>100.57391333439422</v>
      </c>
      <c r="H68" s="55" t="str">
        <f>IF(AND(C68*(1+'Device Selection'!$B$8)&lt;='Device Selection'!$G$4,D68*(1+'Device Selection'!$B$9)/B68&lt;='Device Selection'!$G$5,G68&lt;='Device Selection'!$B$11),"OK","")</f>
        <v/>
      </c>
    </row>
    <row r="69" spans="1:8">
      <c r="A69" s="43">
        <v>7</v>
      </c>
      <c r="B69" s="43">
        <v>6</v>
      </c>
      <c r="C69" s="44">
        <f>'Device Selection'!$B$4/A69</f>
        <v>171.42857142857142</v>
      </c>
      <c r="D69" s="44">
        <f>'Device Selection'!$B$5*1000/A69/(SQRT(3)*('Device Selection'!$B$7*(C69)/SQRT(2))*'Device Selection'!$B$6)</f>
        <v>214.86752129677006</v>
      </c>
      <c r="E69" s="44">
        <f>A69*3*D69^2*('Device Selection'!$G$6/1000)/B69+A69*6*(('Device Selection'!$G$7+'Device Selection'!$G$8)/1000)*(C69/'Device Selection'!$G$9)*(D69/'Device Selection'!$G$10)*('Device Selection'!$G$11*1000)+A69*'Device Selection'!$B$15</f>
        <v>3902.0332115673036</v>
      </c>
      <c r="F69" s="45">
        <f>'Device Selection'!$B$5/('Device Selection'!$B$5+E69/1000)</f>
        <v>0.98716022670091574</v>
      </c>
      <c r="G69" s="44">
        <f>'Device Selection'!$B$10 + (E69/A69)*'Device Selection'!$G$14 + ((E69/A69-'Device Selection'!$B$15)/(6*B69))*('Device Selection'!$G$12+'Device Selection'!$G$13)</f>
        <v>99.110406498994166</v>
      </c>
      <c r="H69" s="55" t="str">
        <f>IF(AND(C69*(1+'Device Selection'!$B$8)&lt;='Device Selection'!$G$4,D69*(1+'Device Selection'!$B$9)/B69&lt;='Device Selection'!$G$5,G69&lt;='Device Selection'!$B$11),"OK","")</f>
        <v/>
      </c>
    </row>
    <row r="70" spans="1:8">
      <c r="A70" s="43">
        <v>7</v>
      </c>
      <c r="B70" s="43">
        <v>7</v>
      </c>
      <c r="C70" s="44">
        <f>'Device Selection'!$B$4/A70</f>
        <v>171.42857142857142</v>
      </c>
      <c r="D70" s="44">
        <f>'Device Selection'!$B$5*1000/A70/(SQRT(3)*('Device Selection'!$B$7*(C70)/SQRT(2))*'Device Selection'!$B$6)</f>
        <v>214.86752129677006</v>
      </c>
      <c r="E70" s="44">
        <f>A70*3*D70^2*('Device Selection'!$G$6/1000)/B70+A70*6*(('Device Selection'!$G$7+'Device Selection'!$G$8)/1000)*(C70/'Device Selection'!$G$9)*(D70/'Device Selection'!$G$10)*('Device Selection'!$G$11*1000)+A70*'Device Selection'!$B$15</f>
        <v>3786.6130822967589</v>
      </c>
      <c r="F70" s="45">
        <f>'Device Selection'!$B$5/('Device Selection'!$B$5+E70/1000)</f>
        <v>0.98753528654907863</v>
      </c>
      <c r="G70" s="44">
        <f>'Device Selection'!$B$10 + (E70/A70)*'Device Selection'!$G$14 + ((E70/A70-'Device Selection'!$B$15)/(6*B70))*('Device Selection'!$G$12+'Device Selection'!$G$13)</f>
        <v>98.077607208867121</v>
      </c>
      <c r="H70" s="55" t="str">
        <f>IF(AND(C70*(1+'Device Selection'!$B$8)&lt;='Device Selection'!$G$4,D70*(1+'Device Selection'!$B$9)/B70&lt;='Device Selection'!$G$5,G70&lt;='Device Selection'!$B$11),"OK","")</f>
        <v/>
      </c>
    </row>
    <row r="71" spans="1:8">
      <c r="A71" s="43">
        <v>7</v>
      </c>
      <c r="B71" s="43">
        <v>8</v>
      </c>
      <c r="C71" s="44">
        <f>'Device Selection'!$B$4/A71</f>
        <v>171.42857142857142</v>
      </c>
      <c r="D71" s="44">
        <f>'Device Selection'!$B$5*1000/A71/(SQRT(3)*('Device Selection'!$B$7*(C71)/SQRT(2))*'Device Selection'!$B$6)</f>
        <v>214.86752129677006</v>
      </c>
      <c r="E71" s="44">
        <f>A71*3*D71^2*('Device Selection'!$G$6/1000)/B71+A71*6*(('Device Selection'!$G$7+'Device Selection'!$G$8)/1000)*(C71/'Device Selection'!$G$9)*(D71/'Device Selection'!$G$10)*('Device Selection'!$G$11*1000)+A71*'Device Selection'!$B$15</f>
        <v>3700.0479853438501</v>
      </c>
      <c r="F71" s="45">
        <f>'Device Selection'!$B$5/('Device Selection'!$B$5+E71/1000)</f>
        <v>0.98781676851917244</v>
      </c>
      <c r="G71" s="44">
        <f>'Device Selection'!$B$10 + (E71/A71)*'Device Selection'!$G$14 + ((E71/A71-'Device Selection'!$B$15)/(6*B71))*('Device Selection'!$G$12+'Device Selection'!$G$13)</f>
        <v>97.309877987061739</v>
      </c>
      <c r="H71" s="55" t="str">
        <f>IF(AND(C71*(1+'Device Selection'!$B$8)&lt;='Device Selection'!$G$4,D71*(1+'Device Selection'!$B$9)/B71&lt;='Device Selection'!$G$5,G71&lt;='Device Selection'!$B$11),"OK","")</f>
        <v/>
      </c>
    </row>
    <row r="72" spans="1:8">
      <c r="A72" s="43">
        <v>7</v>
      </c>
      <c r="B72" s="43">
        <v>9</v>
      </c>
      <c r="C72" s="44">
        <f>'Device Selection'!$B$4/A72</f>
        <v>171.42857142857142</v>
      </c>
      <c r="D72" s="44">
        <f>'Device Selection'!$B$5*1000/A72/(SQRT(3)*('Device Selection'!$B$7*(C72)/SQRT(2))*'Device Selection'!$B$6)</f>
        <v>214.86752129677006</v>
      </c>
      <c r="E72" s="44">
        <f>A72*3*D72^2*('Device Selection'!$G$6/1000)/B72+A72*6*(('Device Selection'!$G$7+'Device Selection'!$G$8)/1000)*(C72/'Device Selection'!$G$9)*(D72/'Device Selection'!$G$10)*('Device Selection'!$G$11*1000)+A72*'Device Selection'!$B$15</f>
        <v>3632.7195766026989</v>
      </c>
      <c r="F72" s="45">
        <f>'Device Selection'!$B$5/('Device Selection'!$B$5+E72/1000)</f>
        <v>0.98803580990326634</v>
      </c>
      <c r="G72" s="44">
        <f>'Device Selection'!$B$10 + (E72/A72)*'Device Selection'!$G$14 + ((E72/A72-'Device Selection'!$B$15)/(6*B72))*('Device Selection'!$G$12+'Device Selection'!$G$13)</f>
        <v>96.716826515755301</v>
      </c>
      <c r="H72" s="55" t="str">
        <f>IF(AND(C72*(1+'Device Selection'!$B$8)&lt;='Device Selection'!$G$4,D72*(1+'Device Selection'!$B$9)/B72&lt;='Device Selection'!$G$5,G72&lt;='Device Selection'!$B$11),"OK","")</f>
        <v/>
      </c>
    </row>
    <row r="73" spans="1:8">
      <c r="A73" s="43">
        <v>7</v>
      </c>
      <c r="B73" s="43">
        <v>10</v>
      </c>
      <c r="C73" s="44">
        <f>'Device Selection'!$B$4/A73</f>
        <v>171.42857142857142</v>
      </c>
      <c r="D73" s="44">
        <f>'Device Selection'!$B$5*1000/A73/(SQRT(3)*('Device Selection'!$B$7*(C73)/SQRT(2))*'Device Selection'!$B$6)</f>
        <v>214.86752129677006</v>
      </c>
      <c r="E73" s="44">
        <f>A73*3*D73^2*('Device Selection'!$G$6/1000)/B73+A73*6*(('Device Selection'!$G$7+'Device Selection'!$G$8)/1000)*(C73/'Device Selection'!$G$9)*(D73/'Device Selection'!$G$10)*('Device Selection'!$G$11*1000)+A73*'Device Selection'!$B$15</f>
        <v>3578.8568496097778</v>
      </c>
      <c r="F73" s="45">
        <f>'Device Selection'!$B$5/('Device Selection'!$B$5+E73/1000)</f>
        <v>0.98821111296501551</v>
      </c>
      <c r="G73" s="44">
        <f>'Device Selection'!$B$10 + (E73/A73)*'Device Selection'!$G$14 + ((E73/A73-'Device Selection'!$B$15)/(6*B73))*('Device Selection'!$G$12+'Device Selection'!$G$13)</f>
        <v>96.244950230471702</v>
      </c>
      <c r="H73" s="55" t="str">
        <f>IF(AND(C73*(1+'Device Selection'!$B$8)&lt;='Device Selection'!$G$4,D73*(1+'Device Selection'!$B$9)/B73&lt;='Device Selection'!$G$5,G73&lt;='Device Selection'!$B$11),"OK","")</f>
        <v/>
      </c>
    </row>
    <row r="74" spans="1:8">
      <c r="A74" s="43">
        <v>8</v>
      </c>
      <c r="B74" s="43">
        <v>1</v>
      </c>
      <c r="C74" s="44">
        <f>'Device Selection'!$B$4/A74</f>
        <v>150</v>
      </c>
      <c r="D74" s="44">
        <f>'Device Selection'!$B$5*1000/A74/(SQRT(3)*('Device Selection'!$B$7*(C74)/SQRT(2))*'Device Selection'!$B$6)</f>
        <v>214.86752129677006</v>
      </c>
      <c r="E74" s="44">
        <f>A74*3*D74^2*('Device Selection'!$G$6/1000)/B74+A74*6*(('Device Selection'!$G$7+'Device Selection'!$G$8)/1000)*(C74/'Device Selection'!$G$9)*(D74/'Device Selection'!$G$10)*('Device Selection'!$G$11*1000)+A74*'Device Selection'!$B$15</f>
        <v>8634.258511659642</v>
      </c>
      <c r="F74" s="45">
        <f>'Device Selection'!$B$5/('Device Selection'!$B$5+E74/1000)</f>
        <v>0.97202430296203346</v>
      </c>
      <c r="G74" s="44">
        <f>'Device Selection'!$B$10 + (E74/A74)*'Device Selection'!$G$14 + ((E74/A74-'Device Selection'!$B$15)/(6*B74))*('Device Selection'!$G$12+'Device Selection'!$G$13)</f>
        <v>138.35454655063882</v>
      </c>
      <c r="H74" s="55" t="str">
        <f>IF(AND(C74*(1+'Device Selection'!$B$8)&lt;='Device Selection'!$G$4,D74*(1+'Device Selection'!$B$9)/B74&lt;='Device Selection'!$G$5,G74&lt;='Device Selection'!$B$11),"OK","")</f>
        <v/>
      </c>
    </row>
    <row r="75" spans="1:8">
      <c r="A75" s="43">
        <v>8</v>
      </c>
      <c r="B75" s="43">
        <v>2</v>
      </c>
      <c r="C75" s="44">
        <f>'Device Selection'!$B$4/A75</f>
        <v>150</v>
      </c>
      <c r="D75" s="44">
        <f>'Device Selection'!$B$5*1000/A75/(SQRT(3)*('Device Selection'!$B$7*(C75)/SQRT(2))*'Device Selection'!$B$6)</f>
        <v>214.86752129677006</v>
      </c>
      <c r="E75" s="44">
        <f>A75*3*D75^2*('Device Selection'!$G$6/1000)/B75+A75*6*(('Device Selection'!$G$7+'Device Selection'!$G$8)/1000)*(C75/'Device Selection'!$G$9)*(D75/'Device Selection'!$G$10)*('Device Selection'!$G$11*1000)+A75*'Device Selection'!$B$15</f>
        <v>5864.1754091665662</v>
      </c>
      <c r="F75" s="45">
        <f>'Device Selection'!$B$5/('Device Selection'!$B$5+E75/1000)</f>
        <v>0.98082751796178202</v>
      </c>
      <c r="G75" s="44">
        <f>'Device Selection'!$B$10 + (E75/A75)*'Device Selection'!$G$14 + ((E75/A75-'Device Selection'!$B$15)/(6*B75))*('Device Selection'!$G$12+'Device Selection'!$G$13)</f>
        <v>111.53790914826318</v>
      </c>
      <c r="H75" s="55" t="str">
        <f>IF(AND(C75*(1+'Device Selection'!$B$8)&lt;='Device Selection'!$G$4,D75*(1+'Device Selection'!$B$9)/B75&lt;='Device Selection'!$G$5,G75&lt;='Device Selection'!$B$11),"OK","")</f>
        <v/>
      </c>
    </row>
    <row r="76" spans="1:8">
      <c r="A76" s="43">
        <v>8</v>
      </c>
      <c r="B76" s="43">
        <v>3</v>
      </c>
      <c r="C76" s="44">
        <f>'Device Selection'!$B$4/A76</f>
        <v>150</v>
      </c>
      <c r="D76" s="44">
        <f>'Device Selection'!$B$5*1000/A76/(SQRT(3)*('Device Selection'!$B$7*(C76)/SQRT(2))*'Device Selection'!$B$6)</f>
        <v>214.86752129677006</v>
      </c>
      <c r="E76" s="44">
        <f>A76*3*D76^2*('Device Selection'!$G$6/1000)/B76+A76*6*(('Device Selection'!$G$7+'Device Selection'!$G$8)/1000)*(C76/'Device Selection'!$G$9)*(D76/'Device Selection'!$G$10)*('Device Selection'!$G$11*1000)+A76*'Device Selection'!$B$15</f>
        <v>4940.8143750022073</v>
      </c>
      <c r="F76" s="45">
        <f>'Device Selection'!$B$5/('Device Selection'!$B$5+E76/1000)</f>
        <v>0.98379746448461236</v>
      </c>
      <c r="G76" s="44">
        <f>'Device Selection'!$B$10 + (E76/A76)*'Device Selection'!$G$14 + ((E76/A76-'Device Selection'!$B$15)/(6*B76))*('Device Selection'!$G$12+'Device Selection'!$G$13)</f>
        <v>103.62498671876503</v>
      </c>
      <c r="H76" s="55" t="str">
        <f>IF(AND(C76*(1+'Device Selection'!$B$8)&lt;='Device Selection'!$G$4,D76*(1+'Device Selection'!$B$9)/B76&lt;='Device Selection'!$G$5,G76&lt;='Device Selection'!$B$11),"OK","")</f>
        <v>OK</v>
      </c>
    </row>
    <row r="77" spans="1:8">
      <c r="A77" s="43">
        <v>8</v>
      </c>
      <c r="B77" s="43">
        <v>4</v>
      </c>
      <c r="C77" s="44">
        <f>'Device Selection'!$B$4/A77</f>
        <v>150</v>
      </c>
      <c r="D77" s="44">
        <f>'Device Selection'!$B$5*1000/A77/(SQRT(3)*('Device Selection'!$B$7*(C77)/SQRT(2))*'Device Selection'!$B$6)</f>
        <v>214.86752129677006</v>
      </c>
      <c r="E77" s="44">
        <f>A77*3*D77^2*('Device Selection'!$G$6/1000)/B77+A77*6*(('Device Selection'!$G$7+'Device Selection'!$G$8)/1000)*(C77/'Device Selection'!$G$9)*(D77/'Device Selection'!$G$10)*('Device Selection'!$G$11*1000)+A77*'Device Selection'!$B$15</f>
        <v>4479.1338579200274</v>
      </c>
      <c r="F77" s="45">
        <f>'Device Selection'!$B$5/('Device Selection'!$B$5+E77/1000)</f>
        <v>0.98528919272343263</v>
      </c>
      <c r="G77" s="44">
        <f>'Device Selection'!$B$10 + (E77/A77)*'Device Selection'!$G$14 + ((E77/A77-'Device Selection'!$B$15)/(6*B77))*('Device Selection'!$G$12+'Device Selection'!$G$13)</f>
        <v>99.860892386133514</v>
      </c>
      <c r="H77" s="55" t="str">
        <f>IF(AND(C77*(1+'Device Selection'!$B$8)&lt;='Device Selection'!$G$4,D77*(1+'Device Selection'!$B$9)/B77&lt;='Device Selection'!$G$5,G77&lt;='Device Selection'!$B$11),"OK","")</f>
        <v>OK</v>
      </c>
    </row>
    <row r="78" spans="1:8">
      <c r="A78" s="43">
        <v>8</v>
      </c>
      <c r="B78" s="43">
        <v>5</v>
      </c>
      <c r="C78" s="44">
        <f>'Device Selection'!$B$4/A78</f>
        <v>150</v>
      </c>
      <c r="D78" s="44">
        <f>'Device Selection'!$B$5*1000/A78/(SQRT(3)*('Device Selection'!$B$7*(C78)/SQRT(2))*'Device Selection'!$B$6)</f>
        <v>214.86752129677006</v>
      </c>
      <c r="E78" s="44">
        <f>A78*3*D78^2*('Device Selection'!$G$6/1000)/B78+A78*6*(('Device Selection'!$G$7+'Device Selection'!$G$8)/1000)*(C78/'Device Selection'!$G$9)*(D78/'Device Selection'!$G$10)*('Device Selection'!$G$11*1000)+A78*'Device Selection'!$B$15</f>
        <v>4202.1255476707202</v>
      </c>
      <c r="F78" s="45">
        <f>'Device Selection'!$B$5/('Device Selection'!$B$5+E78/1000)</f>
        <v>0.98618640306965166</v>
      </c>
      <c r="G78" s="44">
        <f>'Device Selection'!$B$10 + (E78/A78)*'Device Selection'!$G$14 + ((E78/A78-'Device Selection'!$B$15)/(6*B78))*('Device Selection'!$G$12+'Device Selection'!$G$13)</f>
        <v>97.663993188832251</v>
      </c>
      <c r="H78" s="55" t="str">
        <f>IF(AND(C78*(1+'Device Selection'!$B$8)&lt;='Device Selection'!$G$4,D78*(1+'Device Selection'!$B$9)/B78&lt;='Device Selection'!$G$5,G78&lt;='Device Selection'!$B$11),"OK","")</f>
        <v>OK</v>
      </c>
    </row>
    <row r="79" spans="1:8">
      <c r="A79" s="43">
        <v>8</v>
      </c>
      <c r="B79" s="43">
        <v>6</v>
      </c>
      <c r="C79" s="44">
        <f>'Device Selection'!$B$4/A79</f>
        <v>150</v>
      </c>
      <c r="D79" s="44">
        <f>'Device Selection'!$B$5*1000/A79/(SQRT(3)*('Device Selection'!$B$7*(C79)/SQRT(2))*'Device Selection'!$B$6)</f>
        <v>214.86752129677006</v>
      </c>
      <c r="E79" s="44">
        <f>A79*3*D79^2*('Device Selection'!$G$6/1000)/B79+A79*6*(('Device Selection'!$G$7+'Device Selection'!$G$8)/1000)*(C79/'Device Selection'!$G$9)*(D79/'Device Selection'!$G$10)*('Device Selection'!$G$11*1000)+A79*'Device Selection'!$B$15</f>
        <v>4017.4533408378484</v>
      </c>
      <c r="F79" s="45">
        <f>'Device Selection'!$B$5/('Device Selection'!$B$5+E79/1000)</f>
        <v>0.9867854516354565</v>
      </c>
      <c r="G79" s="44">
        <f>'Device Selection'!$B$10 + (E79/A79)*'Device Selection'!$G$14 + ((E79/A79-'Device Selection'!$B$15)/(6*B79))*('Device Selection'!$G$12+'Device Selection'!$G$13)</f>
        <v>96.225042641580401</v>
      </c>
      <c r="H79" s="55" t="str">
        <f>IF(AND(C79*(1+'Device Selection'!$B$8)&lt;='Device Selection'!$G$4,D79*(1+'Device Selection'!$B$9)/B79&lt;='Device Selection'!$G$5,G79&lt;='Device Selection'!$B$11),"OK","")</f>
        <v>OK</v>
      </c>
    </row>
    <row r="80" spans="1:8">
      <c r="A80" s="43">
        <v>8</v>
      </c>
      <c r="B80" s="43">
        <v>7</v>
      </c>
      <c r="C80" s="44">
        <f>'Device Selection'!$B$4/A80</f>
        <v>150</v>
      </c>
      <c r="D80" s="44">
        <f>'Device Selection'!$B$5*1000/A80/(SQRT(3)*('Device Selection'!$B$7*(C80)/SQRT(2))*'Device Selection'!$B$6)</f>
        <v>214.86752129677006</v>
      </c>
      <c r="E80" s="44">
        <f>A80*3*D80^2*('Device Selection'!$G$6/1000)/B80+A80*6*(('Device Selection'!$G$7+'Device Selection'!$G$8)/1000)*(C80/'Device Selection'!$G$9)*(D80/'Device Selection'!$G$10)*('Device Selection'!$G$11*1000)+A80*'Device Selection'!$B$15</f>
        <v>3885.5446216715113</v>
      </c>
      <c r="F80" s="45">
        <f>'Device Selection'!$B$5/('Device Selection'!$B$5+E80/1000)</f>
        <v>0.98721378923598069</v>
      </c>
      <c r="G80" s="44">
        <f>'Device Selection'!$B$10 + (E80/A80)*'Device Selection'!$G$14 + ((E80/A80-'Device Selection'!$B$15)/(6*B80))*('Device Selection'!$G$12+'Device Selection'!$G$13)</f>
        <v>95.209783557273497</v>
      </c>
      <c r="H80" s="55" t="str">
        <f>IF(AND(C80*(1+'Device Selection'!$B$8)&lt;='Device Selection'!$G$4,D80*(1+'Device Selection'!$B$9)/B80&lt;='Device Selection'!$G$5,G80&lt;='Device Selection'!$B$11),"OK","")</f>
        <v>OK</v>
      </c>
    </row>
    <row r="81" spans="1:8">
      <c r="A81" s="43">
        <v>8</v>
      </c>
      <c r="B81" s="43">
        <v>8</v>
      </c>
      <c r="C81" s="44">
        <f>'Device Selection'!$B$4/A81</f>
        <v>150</v>
      </c>
      <c r="D81" s="44">
        <f>'Device Selection'!$B$5*1000/A81/(SQRT(3)*('Device Selection'!$B$7*(C81)/SQRT(2))*'Device Selection'!$B$6)</f>
        <v>214.86752129677006</v>
      </c>
      <c r="E81" s="44">
        <f>A81*3*D81^2*('Device Selection'!$G$6/1000)/B81+A81*6*(('Device Selection'!$G$7+'Device Selection'!$G$8)/1000)*(C81/'Device Selection'!$G$9)*(D81/'Device Selection'!$G$10)*('Device Selection'!$G$11*1000)+A81*'Device Selection'!$B$15</f>
        <v>3786.6130822967584</v>
      </c>
      <c r="F81" s="45">
        <f>'Device Selection'!$B$5/('Device Selection'!$B$5+E81/1000)</f>
        <v>0.98753528654907863</v>
      </c>
      <c r="G81" s="44">
        <f>'Device Selection'!$B$10 + (E81/A81)*'Device Selection'!$G$14 + ((E81/A81-'Device Selection'!$B$15)/(6*B81))*('Device Selection'!$G$12+'Device Selection'!$G$13)</f>
        <v>94.455209489833223</v>
      </c>
      <c r="H81" s="55" t="str">
        <f>IF(AND(C81*(1+'Device Selection'!$B$8)&lt;='Device Selection'!$G$4,D81*(1+'Device Selection'!$B$9)/B81&lt;='Device Selection'!$G$5,G81&lt;='Device Selection'!$B$11),"OK","")</f>
        <v>OK</v>
      </c>
    </row>
    <row r="82" spans="1:8">
      <c r="A82" s="43">
        <v>8</v>
      </c>
      <c r="B82" s="43">
        <v>9</v>
      </c>
      <c r="C82" s="44">
        <f>'Device Selection'!$B$4/A82</f>
        <v>150</v>
      </c>
      <c r="D82" s="44">
        <f>'Device Selection'!$B$5*1000/A82/(SQRT(3)*('Device Selection'!$B$7*(C82)/SQRT(2))*'Device Selection'!$B$6)</f>
        <v>214.86752129677006</v>
      </c>
      <c r="E82" s="44">
        <f>A82*3*D82^2*('Device Selection'!$G$6/1000)/B82+A82*6*(('Device Selection'!$G$7+'Device Selection'!$G$8)/1000)*(C82/'Device Selection'!$G$9)*(D82/'Device Selection'!$G$10)*('Device Selection'!$G$11*1000)+A82*'Device Selection'!$B$15</f>
        <v>3709.6663294497284</v>
      </c>
      <c r="F82" s="45">
        <f>'Device Selection'!$B$5/('Device Selection'!$B$5+E82/1000)</f>
        <v>0.98778548482080375</v>
      </c>
      <c r="G82" s="44">
        <f>'Device Selection'!$B$10 + (E82/A82)*'Device Selection'!$G$14 + ((E82/A82-'Device Selection'!$B$15)/(6*B82))*('Device Selection'!$G$12+'Device Selection'!$G$13)</f>
        <v>93.872389805255196</v>
      </c>
      <c r="H82" s="55" t="str">
        <f>IF(AND(C82*(1+'Device Selection'!$B$8)&lt;='Device Selection'!$G$4,D82*(1+'Device Selection'!$B$9)/B82&lt;='Device Selection'!$G$5,G82&lt;='Device Selection'!$B$11),"OK","")</f>
        <v>OK</v>
      </c>
    </row>
    <row r="83" spans="1:8">
      <c r="A83" s="43">
        <v>8</v>
      </c>
      <c r="B83" s="43">
        <v>10</v>
      </c>
      <c r="C83" s="44">
        <f>'Device Selection'!$B$4/A83</f>
        <v>150</v>
      </c>
      <c r="D83" s="44">
        <f>'Device Selection'!$B$5*1000/A83/(SQRT(3)*('Device Selection'!$B$7*(C83)/SQRT(2))*'Device Selection'!$B$6)</f>
        <v>214.86752129677006</v>
      </c>
      <c r="E83" s="44">
        <f>A83*3*D83^2*('Device Selection'!$G$6/1000)/B83+A83*6*(('Device Selection'!$G$7+'Device Selection'!$G$8)/1000)*(C83/'Device Selection'!$G$9)*(D83/'Device Selection'!$G$10)*('Device Selection'!$G$11*1000)+A83*'Device Selection'!$B$15</f>
        <v>3648.1089271721048</v>
      </c>
      <c r="F83" s="45">
        <f>'Device Selection'!$B$5/('Device Selection'!$B$5+E83/1000)</f>
        <v>0.98798573473728724</v>
      </c>
      <c r="G83" s="44">
        <f>'Device Selection'!$B$10 + (E83/A83)*'Device Selection'!$G$14 + ((E83/A83-'Device Selection'!$B$15)/(6*B83))*('Device Selection'!$G$12+'Device Selection'!$G$13)</f>
        <v>93.408698949354331</v>
      </c>
      <c r="H83" s="55" t="str">
        <f>IF(AND(C83*(1+'Device Selection'!$B$8)&lt;='Device Selection'!$G$4,D83*(1+'Device Selection'!$B$9)/B83&lt;='Device Selection'!$G$5,G83&lt;='Device Selection'!$B$11),"OK","")</f>
        <v>OK</v>
      </c>
    </row>
    <row r="84" spans="1:8">
      <c r="A84" s="43">
        <v>9</v>
      </c>
      <c r="B84" s="43">
        <v>1</v>
      </c>
      <c r="C84" s="44">
        <f>'Device Selection'!$B$4/A84</f>
        <v>133.33333333333334</v>
      </c>
      <c r="D84" s="44">
        <f>'Device Selection'!$B$5*1000/A84/(SQRT(3)*('Device Selection'!$B$7*(C84)/SQRT(2))*'Device Selection'!$B$6)</f>
        <v>214.86752129677006</v>
      </c>
      <c r="E84" s="44">
        <f>A84*3*D84^2*('Device Selection'!$G$6/1000)/B84+A84*6*(('Device Selection'!$G$7+'Device Selection'!$G$8)/1000)*(C84/'Device Selection'!$G$9)*(D84/'Device Selection'!$G$10)*('Device Selection'!$G$11*1000)+A84*'Device Selection'!$B$15</f>
        <v>9326.7792872829104</v>
      </c>
      <c r="F84" s="45">
        <f>'Device Selection'!$B$5/('Device Selection'!$B$5+E84/1000)</f>
        <v>0.9698481350086382</v>
      </c>
      <c r="G84" s="44">
        <f>'Device Selection'!$B$10 + (E84/A84)*'Device Selection'!$G$14 + ((E84/A84-'Device Selection'!$B$15)/(6*B84))*('Device Selection'!$G$12+'Device Selection'!$G$13)</f>
        <v>135.63289128087973</v>
      </c>
      <c r="H84" s="55" t="str">
        <f>IF(AND(C84*(1+'Device Selection'!$B$8)&lt;='Device Selection'!$G$4,D84*(1+'Device Selection'!$B$9)/B84&lt;='Device Selection'!$G$5,G84&lt;='Device Selection'!$B$11),"OK","")</f>
        <v/>
      </c>
    </row>
    <row r="85" spans="1:8">
      <c r="A85" s="43">
        <v>9</v>
      </c>
      <c r="B85" s="43">
        <v>2</v>
      </c>
      <c r="C85" s="44">
        <f>'Device Selection'!$B$4/A85</f>
        <v>133.33333333333334</v>
      </c>
      <c r="D85" s="44">
        <f>'Device Selection'!$B$5*1000/A85/(SQRT(3)*('Device Selection'!$B$7*(C85)/SQRT(2))*'Device Selection'!$B$6)</f>
        <v>214.86752129677006</v>
      </c>
      <c r="E85" s="44">
        <f>A85*3*D85^2*('Device Selection'!$G$6/1000)/B85+A85*6*(('Device Selection'!$G$7+'Device Selection'!$G$8)/1000)*(C85/'Device Selection'!$G$9)*(D85/'Device Selection'!$G$10)*('Device Selection'!$G$11*1000)+A85*'Device Selection'!$B$15</f>
        <v>6210.4357969782004</v>
      </c>
      <c r="F85" s="45">
        <f>'Device Selection'!$B$5/('Device Selection'!$B$5+E85/1000)</f>
        <v>0.97971840580542535</v>
      </c>
      <c r="G85" s="44">
        <f>'Device Selection'!$B$10 + (E85/A85)*'Device Selection'!$G$14 + ((E85/A85-'Device Selection'!$B$15)/(6*B85))*('Device Selection'!$G$12+'Device Selection'!$G$13)</f>
        <v>109.10274390689979</v>
      </c>
      <c r="H85" s="55" t="str">
        <f>IF(AND(C85*(1+'Device Selection'!$B$8)&lt;='Device Selection'!$G$4,D85*(1+'Device Selection'!$B$9)/B85&lt;='Device Selection'!$G$5,G85&lt;='Device Selection'!$B$11),"OK","")</f>
        <v/>
      </c>
    </row>
    <row r="86" spans="1:8">
      <c r="A86" s="43">
        <v>9</v>
      </c>
      <c r="B86" s="43">
        <v>3</v>
      </c>
      <c r="C86" s="44">
        <f>'Device Selection'!$B$4/A86</f>
        <v>133.33333333333334</v>
      </c>
      <c r="D86" s="44">
        <f>'Device Selection'!$B$5*1000/A86/(SQRT(3)*('Device Selection'!$B$7*(C86)/SQRT(2))*'Device Selection'!$B$6)</f>
        <v>214.86752129677006</v>
      </c>
      <c r="E86" s="44">
        <f>A86*3*D86^2*('Device Selection'!$G$6/1000)/B86+A86*6*(('Device Selection'!$G$7+'Device Selection'!$G$8)/1000)*(C86/'Device Selection'!$G$9)*(D86/'Device Selection'!$G$10)*('Device Selection'!$G$11*1000)+A86*'Device Selection'!$B$15</f>
        <v>5171.6546335432968</v>
      </c>
      <c r="F86" s="45">
        <f>'Device Selection'!$B$5/('Device Selection'!$B$5+E86/1000)</f>
        <v>0.98305329294179189</v>
      </c>
      <c r="G86" s="44">
        <f>'Device Selection'!$B$10 + (E86/A86)*'Device Selection'!$G$14 + ((E86/A86-'Device Selection'!$B$15)/(6*B86))*('Device Selection'!$G$12+'Device Selection'!$G$13)</f>
        <v>101.28531815353352</v>
      </c>
      <c r="H86" s="55" t="str">
        <f>IF(AND(C86*(1+'Device Selection'!$B$8)&lt;='Device Selection'!$G$4,D86*(1+'Device Selection'!$B$9)/B86&lt;='Device Selection'!$G$5,G86&lt;='Device Selection'!$B$11),"OK","")</f>
        <v>OK</v>
      </c>
    </row>
    <row r="87" spans="1:8">
      <c r="A87" s="43">
        <v>9</v>
      </c>
      <c r="B87" s="43">
        <v>4</v>
      </c>
      <c r="C87" s="44">
        <f>'Device Selection'!$B$4/A87</f>
        <v>133.33333333333334</v>
      </c>
      <c r="D87" s="44">
        <f>'Device Selection'!$B$5*1000/A87/(SQRT(3)*('Device Selection'!$B$7*(C87)/SQRT(2))*'Device Selection'!$B$6)</f>
        <v>214.86752129677006</v>
      </c>
      <c r="E87" s="44">
        <f>A87*3*D87^2*('Device Selection'!$G$6/1000)/B87+A87*6*(('Device Selection'!$G$7+'Device Selection'!$G$8)/1000)*(C87/'Device Selection'!$G$9)*(D87/'Device Selection'!$G$10)*('Device Selection'!$G$11*1000)+A87*'Device Selection'!$B$15</f>
        <v>4652.2640518258449</v>
      </c>
      <c r="F87" s="45">
        <f>'Device Selection'!$B$5/('Device Selection'!$B$5+E87/1000)</f>
        <v>0.98472926480193679</v>
      </c>
      <c r="G87" s="44">
        <f>'Device Selection'!$B$10 + (E87/A87)*'Device Selection'!$G$14 + ((E87/A87-'Device Selection'!$B$15)/(6*B87))*('Device Selection'!$G$12+'Device Selection'!$G$13)</f>
        <v>97.568972158967966</v>
      </c>
      <c r="H87" s="55" t="str">
        <f>IF(AND(C87*(1+'Device Selection'!$B$8)&lt;='Device Selection'!$G$4,D87*(1+'Device Selection'!$B$9)/B87&lt;='Device Selection'!$G$5,G87&lt;='Device Selection'!$B$11),"OK","")</f>
        <v>OK</v>
      </c>
    </row>
    <row r="88" spans="1:8">
      <c r="A88" s="43">
        <v>9</v>
      </c>
      <c r="B88" s="43">
        <v>5</v>
      </c>
      <c r="C88" s="44">
        <f>'Device Selection'!$B$4/A88</f>
        <v>133.33333333333334</v>
      </c>
      <c r="D88" s="44">
        <f>'Device Selection'!$B$5*1000/A88/(SQRT(3)*('Device Selection'!$B$7*(C88)/SQRT(2))*'Device Selection'!$B$6)</f>
        <v>214.86752129677006</v>
      </c>
      <c r="E88" s="44">
        <f>A88*3*D88^2*('Device Selection'!$G$6/1000)/B88+A88*6*(('Device Selection'!$G$7+'Device Selection'!$G$8)/1000)*(C88/'Device Selection'!$G$9)*(D88/'Device Selection'!$G$10)*('Device Selection'!$G$11*1000)+A88*'Device Selection'!$B$15</f>
        <v>4340.6297027953742</v>
      </c>
      <c r="F88" s="45">
        <f>'Device Selection'!$B$5/('Device Selection'!$B$5+E88/1000)</f>
        <v>0.98573759373819325</v>
      </c>
      <c r="G88" s="44">
        <f>'Device Selection'!$B$10 + (E88/A88)*'Device Selection'!$G$14 + ((E88/A88-'Device Selection'!$B$15)/(6*B88))*('Device Selection'!$G$12+'Device Selection'!$G$13)</f>
        <v>95.400721964506261</v>
      </c>
      <c r="H88" s="55" t="str">
        <f>IF(AND(C88*(1+'Device Selection'!$B$8)&lt;='Device Selection'!$G$4,D88*(1+'Device Selection'!$B$9)/B88&lt;='Device Selection'!$G$5,G88&lt;='Device Selection'!$B$11),"OK","")</f>
        <v>OK</v>
      </c>
    </row>
    <row r="89" spans="1:8">
      <c r="A89" s="43">
        <v>9</v>
      </c>
      <c r="B89" s="43">
        <v>6</v>
      </c>
      <c r="C89" s="44">
        <f>'Device Selection'!$B$4/A89</f>
        <v>133.33333333333334</v>
      </c>
      <c r="D89" s="44">
        <f>'Device Selection'!$B$5*1000/A89/(SQRT(3)*('Device Selection'!$B$7*(C89)/SQRT(2))*'Device Selection'!$B$6)</f>
        <v>214.86752129677006</v>
      </c>
      <c r="E89" s="44">
        <f>A89*3*D89^2*('Device Selection'!$G$6/1000)/B89+A89*6*(('Device Selection'!$G$7+'Device Selection'!$G$8)/1000)*(C89/'Device Selection'!$G$9)*(D89/'Device Selection'!$G$10)*('Device Selection'!$G$11*1000)+A89*'Device Selection'!$B$15</f>
        <v>4132.8734701083931</v>
      </c>
      <c r="F89" s="45">
        <f>'Device Selection'!$B$5/('Device Selection'!$B$5+E89/1000)</f>
        <v>0.98641096102847103</v>
      </c>
      <c r="G89" s="44">
        <f>'Device Selection'!$B$10 + (E89/A89)*'Device Selection'!$G$14 + ((E89/A89-'Device Selection'!$B$15)/(6*B89))*('Device Selection'!$G$12+'Device Selection'!$G$13)</f>
        <v>93.980870752480797</v>
      </c>
      <c r="H89" s="55" t="str">
        <f>IF(AND(C89*(1+'Device Selection'!$B$8)&lt;='Device Selection'!$G$4,D89*(1+'Device Selection'!$B$9)/B89&lt;='Device Selection'!$G$5,G89&lt;='Device Selection'!$B$11),"OK","")</f>
        <v>OK</v>
      </c>
    </row>
    <row r="90" spans="1:8">
      <c r="A90" s="43">
        <v>9</v>
      </c>
      <c r="B90" s="43">
        <v>7</v>
      </c>
      <c r="C90" s="44">
        <f>'Device Selection'!$B$4/A90</f>
        <v>133.33333333333334</v>
      </c>
      <c r="D90" s="44">
        <f>'Device Selection'!$B$5*1000/A90/(SQRT(3)*('Device Selection'!$B$7*(C90)/SQRT(2))*'Device Selection'!$B$6)</f>
        <v>214.86752129677006</v>
      </c>
      <c r="E90" s="44">
        <f>A90*3*D90^2*('Device Selection'!$G$6/1000)/B90+A90*6*(('Device Selection'!$G$7+'Device Selection'!$G$8)/1000)*(C90/'Device Selection'!$G$9)*(D90/'Device Selection'!$G$10)*('Device Selection'!$G$11*1000)+A90*'Device Selection'!$B$15</f>
        <v>3984.4761610462642</v>
      </c>
      <c r="F90" s="45">
        <f>'Device Selection'!$B$5/('Device Selection'!$B$5+E90/1000)</f>
        <v>0.98689250118504301</v>
      </c>
      <c r="G90" s="44">
        <f>'Device Selection'!$B$10 + (E90/A90)*'Device Selection'!$G$14 + ((E90/A90-'Device Selection'!$B$15)/(6*B90))*('Device Selection'!$G$12+'Device Selection'!$G$13)</f>
        <v>92.979254050478445</v>
      </c>
      <c r="H90" s="55" t="str">
        <f>IF(AND(C90*(1+'Device Selection'!$B$8)&lt;='Device Selection'!$G$4,D90*(1+'Device Selection'!$B$9)/B90&lt;='Device Selection'!$G$5,G90&lt;='Device Selection'!$B$11),"OK","")</f>
        <v>OK</v>
      </c>
    </row>
    <row r="91" spans="1:8">
      <c r="A91" s="43">
        <v>9</v>
      </c>
      <c r="B91" s="43">
        <v>8</v>
      </c>
      <c r="C91" s="44">
        <f>'Device Selection'!$B$4/A91</f>
        <v>133.33333333333334</v>
      </c>
      <c r="D91" s="44">
        <f>'Device Selection'!$B$5*1000/A91/(SQRT(3)*('Device Selection'!$B$7*(C91)/SQRT(2))*'Device Selection'!$B$6)</f>
        <v>214.86752129677006</v>
      </c>
      <c r="E91" s="44">
        <f>A91*3*D91^2*('Device Selection'!$G$6/1000)/B91+A91*6*(('Device Selection'!$G$7+'Device Selection'!$G$8)/1000)*(C91/'Device Selection'!$G$9)*(D91/'Device Selection'!$G$10)*('Device Selection'!$G$11*1000)+A91*'Device Selection'!$B$15</f>
        <v>3873.1781792496677</v>
      </c>
      <c r="F91" s="45">
        <f>'Device Selection'!$B$5/('Device Selection'!$B$5+E91/1000)</f>
        <v>0.98725396495190187</v>
      </c>
      <c r="G91" s="44">
        <f>'Device Selection'!$B$10 + (E91/A91)*'Device Selection'!$G$14 + ((E91/A91-'Device Selection'!$B$15)/(6*B91))*('Device Selection'!$G$12+'Device Selection'!$G$13)</f>
        <v>92.234911769766612</v>
      </c>
      <c r="H91" s="55" t="str">
        <f>IF(AND(C91*(1+'Device Selection'!$B$8)&lt;='Device Selection'!$G$4,D91*(1+'Device Selection'!$B$9)/B91&lt;='Device Selection'!$G$5,G91&lt;='Device Selection'!$B$11),"OK","")</f>
        <v>OK</v>
      </c>
    </row>
    <row r="92" spans="1:8">
      <c r="A92" s="43">
        <v>9</v>
      </c>
      <c r="B92" s="43">
        <v>9</v>
      </c>
      <c r="C92" s="44">
        <f>'Device Selection'!$B$4/A92</f>
        <v>133.33333333333334</v>
      </c>
      <c r="D92" s="44">
        <f>'Device Selection'!$B$5*1000/A92/(SQRT(3)*('Device Selection'!$B$7*(C92)/SQRT(2))*'Device Selection'!$B$6)</f>
        <v>214.86752129677006</v>
      </c>
      <c r="E92" s="44">
        <f>A92*3*D92^2*('Device Selection'!$G$6/1000)/B92+A92*6*(('Device Selection'!$G$7+'Device Selection'!$G$8)/1000)*(C92/'Device Selection'!$G$9)*(D92/'Device Selection'!$G$10)*('Device Selection'!$G$11*1000)+A92*'Device Selection'!$B$15</f>
        <v>3786.6130822967589</v>
      </c>
      <c r="F92" s="45">
        <f>'Device Selection'!$B$5/('Device Selection'!$B$5+E92/1000)</f>
        <v>0.98753528654907863</v>
      </c>
      <c r="G92" s="44">
        <f>'Device Selection'!$B$10 + (E92/A92)*'Device Selection'!$G$14 + ((E92/A92-'Device Selection'!$B$15)/(6*B92))*('Device Selection'!$G$12+'Device Selection'!$G$13)</f>
        <v>91.660050141532892</v>
      </c>
      <c r="H92" s="55" t="str">
        <f>IF(AND(C92*(1+'Device Selection'!$B$8)&lt;='Device Selection'!$G$4,D92*(1+'Device Selection'!$B$9)/B92&lt;='Device Selection'!$G$5,G92&lt;='Device Selection'!$B$11),"OK","")</f>
        <v>OK</v>
      </c>
    </row>
    <row r="93" spans="1:8">
      <c r="A93" s="43">
        <v>9</v>
      </c>
      <c r="B93" s="43">
        <v>10</v>
      </c>
      <c r="C93" s="44">
        <f>'Device Selection'!$B$4/A93</f>
        <v>133.33333333333334</v>
      </c>
      <c r="D93" s="44">
        <f>'Device Selection'!$B$5*1000/A93/(SQRT(3)*('Device Selection'!$B$7*(C93)/SQRT(2))*'Device Selection'!$B$6)</f>
        <v>214.86752129677006</v>
      </c>
      <c r="E93" s="44">
        <f>A93*3*D93^2*('Device Selection'!$G$6/1000)/B93+A93*6*(('Device Selection'!$G$7+'Device Selection'!$G$8)/1000)*(C93/'Device Selection'!$G$9)*(D93/'Device Selection'!$G$10)*('Device Selection'!$G$11*1000)+A93*'Device Selection'!$B$15</f>
        <v>3717.3610047344318</v>
      </c>
      <c r="F93" s="45">
        <f>'Device Selection'!$B$5/('Device Selection'!$B$5+E93/1000)</f>
        <v>0.98776045928873835</v>
      </c>
      <c r="G93" s="44">
        <f>'Device Selection'!$B$10 + (E93/A93)*'Device Selection'!$G$14 + ((E93/A93-'Device Selection'!$B$15)/(6*B93))*('Device Selection'!$G$12+'Device Selection'!$G$13)</f>
        <v>91.202725730707513</v>
      </c>
      <c r="H93" s="55" t="str">
        <f>IF(AND(C93*(1+'Device Selection'!$B$8)&lt;='Device Selection'!$G$4,D93*(1+'Device Selection'!$B$9)/B93&lt;='Device Selection'!$G$5,G93&lt;='Device Selection'!$B$11),"OK","")</f>
        <v>OK</v>
      </c>
    </row>
    <row r="94" spans="1:8">
      <c r="A94" s="43">
        <v>10</v>
      </c>
      <c r="B94" s="43">
        <v>1</v>
      </c>
      <c r="C94" s="44">
        <f>'Device Selection'!$B$4/A94</f>
        <v>120</v>
      </c>
      <c r="D94" s="44">
        <f>'Device Selection'!$B$5*1000/A94/(SQRT(3)*('Device Selection'!$B$7*(C94)/SQRT(2))*'Device Selection'!$B$6)</f>
        <v>214.86752129677004</v>
      </c>
      <c r="E94" s="44">
        <f>A94*3*D94^2*('Device Selection'!$G$6/1000)/B94+A94*6*(('Device Selection'!$G$7+'Device Selection'!$G$8)/1000)*(C94/'Device Selection'!$G$9)*(D94/'Device Selection'!$G$10)*('Device Selection'!$G$11*1000)+A94*'Device Selection'!$B$15</f>
        <v>10019.300062906179</v>
      </c>
      <c r="F94" s="45">
        <f>'Device Selection'!$B$5/('Device Selection'!$B$5+E94/1000)</f>
        <v>0.96768168929846266</v>
      </c>
      <c r="G94" s="44">
        <f>'Device Selection'!$B$10 + (E94/A94)*'Device Selection'!$G$14 + ((E94/A94-'Device Selection'!$B$15)/(6*B94))*('Device Selection'!$G$12+'Device Selection'!$G$13)</f>
        <v>133.45556706507247</v>
      </c>
      <c r="H94" s="55" t="str">
        <f>IF(AND(C94*(1+'Device Selection'!$B$8)&lt;='Device Selection'!$G$4,D94*(1+'Device Selection'!$B$9)/B94&lt;='Device Selection'!$G$5,G94&lt;='Device Selection'!$B$11),"OK","")</f>
        <v/>
      </c>
    </row>
    <row r="95" spans="1:8">
      <c r="A95" s="43">
        <v>10</v>
      </c>
      <c r="B95" s="43">
        <v>2</v>
      </c>
      <c r="C95" s="44">
        <f>'Device Selection'!$B$4/A95</f>
        <v>120</v>
      </c>
      <c r="D95" s="44">
        <f>'Device Selection'!$B$5*1000/A95/(SQRT(3)*('Device Selection'!$B$7*(C95)/SQRT(2))*'Device Selection'!$B$6)</f>
        <v>214.86752129677004</v>
      </c>
      <c r="E95" s="44">
        <f>A95*3*D95^2*('Device Selection'!$G$6/1000)/B95+A95*6*(('Device Selection'!$G$7+'Device Selection'!$G$8)/1000)*(C95/'Device Selection'!$G$9)*(D95/'Device Selection'!$G$10)*('Device Selection'!$G$11*1000)+A95*'Device Selection'!$B$15</f>
        <v>6556.6961847898328</v>
      </c>
      <c r="F95" s="45">
        <f>'Device Selection'!$B$5/('Device Selection'!$B$5+E95/1000)</f>
        <v>0.97861179916671115</v>
      </c>
      <c r="G95" s="44">
        <f>'Device Selection'!$B$10 + (E95/A95)*'Device Selection'!$G$14 + ((E95/A95-'Device Selection'!$B$15)/(6*B95))*('Device Selection'!$G$12+'Device Selection'!$G$13)</f>
        <v>107.15461171380905</v>
      </c>
      <c r="H95" s="55" t="str">
        <f>IF(AND(C95*(1+'Device Selection'!$B$8)&lt;='Device Selection'!$G$4,D95*(1+'Device Selection'!$B$9)/B95&lt;='Device Selection'!$G$5,G95&lt;='Device Selection'!$B$11),"OK","")</f>
        <v/>
      </c>
    </row>
    <row r="96" spans="1:8">
      <c r="A96" s="43">
        <v>10</v>
      </c>
      <c r="B96" s="43">
        <v>3</v>
      </c>
      <c r="C96" s="44">
        <f>'Device Selection'!$B$4/A96</f>
        <v>120</v>
      </c>
      <c r="D96" s="44">
        <f>'Device Selection'!$B$5*1000/A96/(SQRT(3)*('Device Selection'!$B$7*(C96)/SQRT(2))*'Device Selection'!$B$6)</f>
        <v>214.86752129677004</v>
      </c>
      <c r="E96" s="44">
        <f>A96*3*D96^2*('Device Selection'!$G$6/1000)/B96+A96*6*(('Device Selection'!$G$7+'Device Selection'!$G$8)/1000)*(C96/'Device Selection'!$G$9)*(D96/'Device Selection'!$G$10)*('Device Selection'!$G$11*1000)+A96*'Device Selection'!$B$15</f>
        <v>5402.4948920843854</v>
      </c>
      <c r="F96" s="45">
        <f>'Device Selection'!$B$5/('Device Selection'!$B$5+E96/1000)</f>
        <v>0.98231024637178088</v>
      </c>
      <c r="G96" s="44">
        <f>'Device Selection'!$B$10 + (E96/A96)*'Device Selection'!$G$14 + ((E96/A96-'Device Selection'!$B$15)/(6*B96))*('Device Selection'!$G$12+'Device Selection'!$G$13)</f>
        <v>99.413583301348325</v>
      </c>
      <c r="H96" s="55" t="str">
        <f>IF(AND(C96*(1+'Device Selection'!$B$8)&lt;='Device Selection'!$G$4,D96*(1+'Device Selection'!$B$9)/B96&lt;='Device Selection'!$G$5,G96&lt;='Device Selection'!$B$11),"OK","")</f>
        <v>OK</v>
      </c>
    </row>
    <row r="97" spans="1:8">
      <c r="A97" s="43">
        <v>10</v>
      </c>
      <c r="B97" s="43">
        <v>4</v>
      </c>
      <c r="C97" s="44">
        <f>'Device Selection'!$B$4/A97</f>
        <v>120</v>
      </c>
      <c r="D97" s="44">
        <f>'Device Selection'!$B$5*1000/A97/(SQRT(3)*('Device Selection'!$B$7*(C97)/SQRT(2))*'Device Selection'!$B$6)</f>
        <v>214.86752129677004</v>
      </c>
      <c r="E97" s="44">
        <f>A97*3*D97^2*('Device Selection'!$G$6/1000)/B97+A97*6*(('Device Selection'!$G$7+'Device Selection'!$G$8)/1000)*(C97/'Device Selection'!$G$9)*(D97/'Device Selection'!$G$10)*('Device Selection'!$G$11*1000)+A97*'Device Selection'!$B$15</f>
        <v>4825.3942457316607</v>
      </c>
      <c r="F97" s="45">
        <f>'Device Selection'!$B$5/('Device Selection'!$B$5+E97/1000)</f>
        <v>0.9841699729195077</v>
      </c>
      <c r="G97" s="44">
        <f>'Device Selection'!$B$10 + (E97/A97)*'Device Selection'!$G$14 + ((E97/A97-'Device Selection'!$B$15)/(6*B97))*('Device Selection'!$G$12+'Device Selection'!$G$13)</f>
        <v>95.735435977235525</v>
      </c>
      <c r="H97" s="55" t="str">
        <f>IF(AND(C97*(1+'Device Selection'!$B$8)&lt;='Device Selection'!$G$4,D97*(1+'Device Selection'!$B$9)/B97&lt;='Device Selection'!$G$5,G97&lt;='Device Selection'!$B$11),"OK","")</f>
        <v>OK</v>
      </c>
    </row>
    <row r="98" spans="1:8">
      <c r="A98" s="43">
        <v>10</v>
      </c>
      <c r="B98" s="43">
        <v>5</v>
      </c>
      <c r="C98" s="44">
        <f>'Device Selection'!$B$4/A98</f>
        <v>120</v>
      </c>
      <c r="D98" s="44">
        <f>'Device Selection'!$B$5*1000/A98/(SQRT(3)*('Device Selection'!$B$7*(C98)/SQRT(2))*'Device Selection'!$B$6)</f>
        <v>214.86752129677004</v>
      </c>
      <c r="E98" s="44">
        <f>A98*3*D98^2*('Device Selection'!$G$6/1000)/B98+A98*6*(('Device Selection'!$G$7+'Device Selection'!$G$8)/1000)*(C98/'Device Selection'!$G$9)*(D98/'Device Selection'!$G$10)*('Device Selection'!$G$11*1000)+A98*'Device Selection'!$B$15</f>
        <v>4479.1338579200265</v>
      </c>
      <c r="F98" s="45">
        <f>'Device Selection'!$B$5/('Device Selection'!$B$5+E98/1000)</f>
        <v>0.98528919272343263</v>
      </c>
      <c r="G98" s="44">
        <f>'Device Selection'!$B$10 + (E98/A98)*'Device Selection'!$G$14 + ((E98/A98-'Device Selection'!$B$15)/(6*B98))*('Device Selection'!$G$12+'Device Selection'!$G$13)</f>
        <v>93.590104985045471</v>
      </c>
      <c r="H98" s="55" t="str">
        <f>IF(AND(C98*(1+'Device Selection'!$B$8)&lt;='Device Selection'!$G$4,D98*(1+'Device Selection'!$B$9)/B98&lt;='Device Selection'!$G$5,G98&lt;='Device Selection'!$B$11),"OK","")</f>
        <v>OK</v>
      </c>
    </row>
    <row r="99" spans="1:8">
      <c r="A99" s="43">
        <v>10</v>
      </c>
      <c r="B99" s="43">
        <v>6</v>
      </c>
      <c r="C99" s="44">
        <f>'Device Selection'!$B$4/A99</f>
        <v>120</v>
      </c>
      <c r="D99" s="44">
        <f>'Device Selection'!$B$5*1000/A99/(SQRT(3)*('Device Selection'!$B$7*(C99)/SQRT(2))*'Device Selection'!$B$6)</f>
        <v>214.86752129677004</v>
      </c>
      <c r="E99" s="44">
        <f>A99*3*D99^2*('Device Selection'!$G$6/1000)/B99+A99*6*(('Device Selection'!$G$7+'Device Selection'!$G$8)/1000)*(C99/'Device Selection'!$G$9)*(D99/'Device Selection'!$G$10)*('Device Selection'!$G$11*1000)+A99*'Device Selection'!$B$15</f>
        <v>4248.293599378937</v>
      </c>
      <c r="F99" s="45">
        <f>'Device Selection'!$B$5/('Device Selection'!$B$5+E99/1000)</f>
        <v>0.98603675455622142</v>
      </c>
      <c r="G99" s="44">
        <f>'Device Selection'!$B$10 + (E99/A99)*'Device Selection'!$G$14 + ((E99/A99-'Device Selection'!$B$15)/(6*B99))*('Device Selection'!$G$12+'Device Selection'!$G$13)</f>
        <v>92.185533241201114</v>
      </c>
      <c r="H99" s="55" t="str">
        <f>IF(AND(C99*(1+'Device Selection'!$B$8)&lt;='Device Selection'!$G$4,D99*(1+'Device Selection'!$B$9)/B99&lt;='Device Selection'!$G$5,G99&lt;='Device Selection'!$B$11),"OK","")</f>
        <v>OK</v>
      </c>
    </row>
    <row r="100" spans="1:8">
      <c r="A100" s="43">
        <v>10</v>
      </c>
      <c r="B100" s="43">
        <v>7</v>
      </c>
      <c r="C100" s="44">
        <f>'Device Selection'!$B$4/A100</f>
        <v>120</v>
      </c>
      <c r="D100" s="44">
        <f>'Device Selection'!$B$5*1000/A100/(SQRT(3)*('Device Selection'!$B$7*(C100)/SQRT(2))*'Device Selection'!$B$6)</f>
        <v>214.86752129677004</v>
      </c>
      <c r="E100" s="44">
        <f>A100*3*D100^2*('Device Selection'!$G$6/1000)/B100+A100*6*(('Device Selection'!$G$7+'Device Selection'!$G$8)/1000)*(C100/'Device Selection'!$G$9)*(D100/'Device Selection'!$G$10)*('Device Selection'!$G$11*1000)+A100*'Device Selection'!$B$15</f>
        <v>4083.4077004210158</v>
      </c>
      <c r="F100" s="45">
        <f>'Device Selection'!$B$5/('Device Selection'!$B$5+E100/1000)</f>
        <v>0.98657142219201943</v>
      </c>
      <c r="G100" s="44">
        <f>'Device Selection'!$B$10 + (E100/A100)*'Device Selection'!$G$14 + ((E100/A100-'Device Selection'!$B$15)/(6*B100))*('Device Selection'!$G$12+'Device Selection'!$G$13)</f>
        <v>91.194830445042413</v>
      </c>
      <c r="H100" s="55" t="str">
        <f>IF(AND(C100*(1+'Device Selection'!$B$8)&lt;='Device Selection'!$G$4,D100*(1+'Device Selection'!$B$9)/B100&lt;='Device Selection'!$G$5,G100&lt;='Device Selection'!$B$11),"OK","")</f>
        <v>OK</v>
      </c>
    </row>
    <row r="101" spans="1:8">
      <c r="A101" s="43">
        <v>10</v>
      </c>
      <c r="B101" s="43">
        <v>8</v>
      </c>
      <c r="C101" s="44">
        <f>'Device Selection'!$B$4/A101</f>
        <v>120</v>
      </c>
      <c r="D101" s="44">
        <f>'Device Selection'!$B$5*1000/A101/(SQRT(3)*('Device Selection'!$B$7*(C101)/SQRT(2))*'Device Selection'!$B$6)</f>
        <v>214.86752129677004</v>
      </c>
      <c r="E101" s="44">
        <f>A101*3*D101^2*('Device Selection'!$G$6/1000)/B101+A101*6*(('Device Selection'!$G$7+'Device Selection'!$G$8)/1000)*(C101/'Device Selection'!$G$9)*(D101/'Device Selection'!$G$10)*('Device Selection'!$G$11*1000)+A101*'Device Selection'!$B$15</f>
        <v>3959.7432762025746</v>
      </c>
      <c r="F101" s="45">
        <f>'Device Selection'!$B$5/('Device Selection'!$B$5+E101/1000)</f>
        <v>0.98697280359062411</v>
      </c>
      <c r="G101" s="44">
        <f>'Device Selection'!$B$10 + (E101/A101)*'Device Selection'!$G$14 + ((E101/A101-'Device Selection'!$B$15)/(6*B101))*('Device Selection'!$G$12+'Device Selection'!$G$13)</f>
        <v>90.4586735937133</v>
      </c>
      <c r="H101" s="55" t="str">
        <f>IF(AND(C101*(1+'Device Selection'!$B$8)&lt;='Device Selection'!$G$4,D101*(1+'Device Selection'!$B$9)/B101&lt;='Device Selection'!$G$5,G101&lt;='Device Selection'!$B$11),"OK","")</f>
        <v>OK</v>
      </c>
    </row>
    <row r="102" spans="1:8">
      <c r="A102" s="43">
        <v>10</v>
      </c>
      <c r="B102" s="43">
        <v>9</v>
      </c>
      <c r="C102" s="44">
        <f>'Device Selection'!$B$4/A102</f>
        <v>120</v>
      </c>
      <c r="D102" s="44">
        <f>'Device Selection'!$B$5*1000/A102/(SQRT(3)*('Device Selection'!$B$7*(C102)/SQRT(2))*'Device Selection'!$B$6)</f>
        <v>214.86752129677004</v>
      </c>
      <c r="E102" s="44">
        <f>A102*3*D102^2*('Device Selection'!$G$6/1000)/B102+A102*6*(('Device Selection'!$G$7+'Device Selection'!$G$8)/1000)*(C102/'Device Selection'!$G$9)*(D102/'Device Selection'!$G$10)*('Device Selection'!$G$11*1000)+A102*'Device Selection'!$B$15</f>
        <v>3863.5598351437875</v>
      </c>
      <c r="F102" s="45">
        <f>'Device Selection'!$B$5/('Device Selection'!$B$5+E102/1000)</f>
        <v>0.98728521499175514</v>
      </c>
      <c r="G102" s="44">
        <f>'Device Selection'!$B$10 + (E102/A102)*'Device Selection'!$G$14 + ((E102/A102-'Device Selection'!$B$15)/(6*B102))*('Device Selection'!$G$12+'Device Selection'!$G$13)</f>
        <v>89.890178410555052</v>
      </c>
      <c r="H102" s="55" t="str">
        <f>IF(AND(C102*(1+'Device Selection'!$B$8)&lt;='Device Selection'!$G$4,D102*(1+'Device Selection'!$B$9)/B102&lt;='Device Selection'!$G$5,G102&lt;='Device Selection'!$B$11),"OK","")</f>
        <v>OK</v>
      </c>
    </row>
    <row r="103" spans="1:8">
      <c r="A103" s="43">
        <v>10</v>
      </c>
      <c r="B103" s="43">
        <v>10</v>
      </c>
      <c r="C103" s="44">
        <f>'Device Selection'!$B$4/A103</f>
        <v>120</v>
      </c>
      <c r="D103" s="44">
        <f>'Device Selection'!$B$5*1000/A103/(SQRT(3)*('Device Selection'!$B$7*(C103)/SQRT(2))*'Device Selection'!$B$6)</f>
        <v>214.86752129677004</v>
      </c>
      <c r="E103" s="44">
        <f>A103*3*D103^2*('Device Selection'!$G$6/1000)/B103+A103*6*(('Device Selection'!$G$7+'Device Selection'!$G$8)/1000)*(C103/'Device Selection'!$G$9)*(D103/'Device Selection'!$G$10)*('Device Selection'!$G$11*1000)+A103*'Device Selection'!$B$15</f>
        <v>3786.6130822967575</v>
      </c>
      <c r="F103" s="45">
        <f>'Device Selection'!$B$5/('Device Selection'!$B$5+E103/1000)</f>
        <v>0.98753528654907863</v>
      </c>
      <c r="G103" s="44">
        <f>'Device Selection'!$B$10 + (E103/A103)*'Device Selection'!$G$14 + ((E103/A103-'Device Selection'!$B$15)/(6*B103))*('Device Selection'!$G$12+'Device Selection'!$G$13)</f>
        <v>89.437947155790027</v>
      </c>
      <c r="H103" s="55" t="str">
        <f>IF(AND(C103*(1+'Device Selection'!$B$8)&lt;='Device Selection'!$G$4,D103*(1+'Device Selection'!$B$9)/B103&lt;='Device Selection'!$G$5,G103&lt;='Device Selection'!$B$11),"OK","")</f>
        <v>OK</v>
      </c>
    </row>
    <row r="104" spans="1:8">
      <c r="A104" s="43">
        <v>11</v>
      </c>
      <c r="B104" s="43">
        <v>1</v>
      </c>
      <c r="C104" s="44">
        <f>'Device Selection'!$B$4/A104</f>
        <v>109.09090909090909</v>
      </c>
      <c r="D104" s="44">
        <f>'Device Selection'!$B$5*1000/A104/(SQRT(3)*('Device Selection'!$B$7*(C104)/SQRT(2))*'Device Selection'!$B$6)</f>
        <v>214.86752129677004</v>
      </c>
      <c r="E104" s="44">
        <f>A104*3*D104^2*('Device Selection'!$G$6/1000)/B104+A104*6*(('Device Selection'!$G$7+'Device Selection'!$G$8)/1000)*(C104/'Device Selection'!$G$9)*(D104/'Device Selection'!$G$10)*('Device Selection'!$G$11*1000)+A104*'Device Selection'!$B$15</f>
        <v>10711.820838529447</v>
      </c>
      <c r="F104" s="45">
        <f>'Device Selection'!$B$5/('Device Selection'!$B$5+E104/1000)</f>
        <v>0.9655249008241108</v>
      </c>
      <c r="G104" s="44">
        <f>'Device Selection'!$B$10 + (E104/A104)*'Device Selection'!$G$14 + ((E104/A104-'Device Selection'!$B$15)/(6*B104))*('Device Selection'!$G$12+'Device Selection'!$G$13)</f>
        <v>131.67411997941198</v>
      </c>
      <c r="H104" s="55" t="str">
        <f>IF(AND(C104*(1+'Device Selection'!$B$8)&lt;='Device Selection'!$G$4,D104*(1+'Device Selection'!$B$9)/B104&lt;='Device Selection'!$G$5,G104&lt;='Device Selection'!$B$11),"OK","")</f>
        <v/>
      </c>
    </row>
    <row r="105" spans="1:8">
      <c r="A105" s="43">
        <v>11</v>
      </c>
      <c r="B105" s="43">
        <v>2</v>
      </c>
      <c r="C105" s="44">
        <f>'Device Selection'!$B$4/A105</f>
        <v>109.09090909090909</v>
      </c>
      <c r="D105" s="44">
        <f>'Device Selection'!$B$5*1000/A105/(SQRT(3)*('Device Selection'!$B$7*(C105)/SQRT(2))*'Device Selection'!$B$6)</f>
        <v>214.86752129677004</v>
      </c>
      <c r="E105" s="44">
        <f>A105*3*D105^2*('Device Selection'!$G$6/1000)/B105+A105*6*(('Device Selection'!$G$7+'Device Selection'!$G$8)/1000)*(C105/'Device Selection'!$G$9)*(D105/'Device Selection'!$G$10)*('Device Selection'!$G$11*1000)+A105*'Device Selection'!$B$15</f>
        <v>6902.956572601468</v>
      </c>
      <c r="F105" s="45">
        <f>'Device Selection'!$B$5/('Device Selection'!$B$5+E105/1000)</f>
        <v>0.9775076895651591</v>
      </c>
      <c r="G105" s="44">
        <f>'Device Selection'!$B$10 + (E105/A105)*'Device Selection'!$G$14 + ((E105/A105-'Device Selection'!$B$15)/(6*B105))*('Device Selection'!$G$12+'Device Selection'!$G$13)</f>
        <v>105.56068537400756</v>
      </c>
      <c r="H105" s="55" t="str">
        <f>IF(AND(C105*(1+'Device Selection'!$B$8)&lt;='Device Selection'!$G$4,D105*(1+'Device Selection'!$B$9)/B105&lt;='Device Selection'!$G$5,G105&lt;='Device Selection'!$B$11),"OK","")</f>
        <v/>
      </c>
    </row>
    <row r="106" spans="1:8">
      <c r="A106" s="43">
        <v>11</v>
      </c>
      <c r="B106" s="43">
        <v>3</v>
      </c>
      <c r="C106" s="44">
        <f>'Device Selection'!$B$4/A106</f>
        <v>109.09090909090909</v>
      </c>
      <c r="D106" s="44">
        <f>'Device Selection'!$B$5*1000/A106/(SQRT(3)*('Device Selection'!$B$7*(C106)/SQRT(2))*'Device Selection'!$B$6)</f>
        <v>214.86752129677004</v>
      </c>
      <c r="E106" s="44">
        <f>A106*3*D106^2*('Device Selection'!$G$6/1000)/B106+A106*6*(('Device Selection'!$G$7+'Device Selection'!$G$8)/1000)*(C106/'Device Selection'!$G$9)*(D106/'Device Selection'!$G$10)*('Device Selection'!$G$11*1000)+A106*'Device Selection'!$B$15</f>
        <v>5633.3351506254749</v>
      </c>
      <c r="F106" s="45">
        <f>'Device Selection'!$B$5/('Device Selection'!$B$5+E106/1000)</f>
        <v>0.98156832222555435</v>
      </c>
      <c r="G106" s="44">
        <f>'Device Selection'!$B$10 + (E106/A106)*'Device Selection'!$G$14 + ((E106/A106-'Device Selection'!$B$15)/(6*B106))*('Device Selection'!$G$12+'Device Selection'!$G$13)</f>
        <v>97.882163876833161</v>
      </c>
      <c r="H106" s="55" t="str">
        <f>IF(AND(C106*(1+'Device Selection'!$B$8)&lt;='Device Selection'!$G$4,D106*(1+'Device Selection'!$B$9)/B106&lt;='Device Selection'!$G$5,G106&lt;='Device Selection'!$B$11),"OK","")</f>
        <v>OK</v>
      </c>
    </row>
    <row r="107" spans="1:8">
      <c r="A107" s="43">
        <v>11</v>
      </c>
      <c r="B107" s="43">
        <v>4</v>
      </c>
      <c r="C107" s="44">
        <f>'Device Selection'!$B$4/A107</f>
        <v>109.09090909090909</v>
      </c>
      <c r="D107" s="44">
        <f>'Device Selection'!$B$5*1000/A107/(SQRT(3)*('Device Selection'!$B$7*(C107)/SQRT(2))*'Device Selection'!$B$6)</f>
        <v>214.86752129677004</v>
      </c>
      <c r="E107" s="44">
        <f>A107*3*D107^2*('Device Selection'!$G$6/1000)/B107+A107*6*(('Device Selection'!$G$7+'Device Selection'!$G$8)/1000)*(C107/'Device Selection'!$G$9)*(D107/'Device Selection'!$G$10)*('Device Selection'!$G$11*1000)+A107*'Device Selection'!$B$15</f>
        <v>4998.5244396374783</v>
      </c>
      <c r="F107" s="45">
        <f>'Device Selection'!$B$5/('Device Selection'!$B$5+E107/1000)</f>
        <v>0.98361131599301632</v>
      </c>
      <c r="G107" s="44">
        <f>'Device Selection'!$B$10 + (E107/A107)*'Device Selection'!$G$14 + ((E107/A107-'Device Selection'!$B$15)/(6*B107))*('Device Selection'!$G$12+'Device Selection'!$G$13)</f>
        <v>94.235270010363536</v>
      </c>
      <c r="H107" s="55" t="str">
        <f>IF(AND(C107*(1+'Device Selection'!$B$8)&lt;='Device Selection'!$G$4,D107*(1+'Device Selection'!$B$9)/B107&lt;='Device Selection'!$G$5,G107&lt;='Device Selection'!$B$11),"OK","")</f>
        <v>OK</v>
      </c>
    </row>
    <row r="108" spans="1:8">
      <c r="A108" s="43">
        <v>11</v>
      </c>
      <c r="B108" s="43">
        <v>5</v>
      </c>
      <c r="C108" s="44">
        <f>'Device Selection'!$B$4/A108</f>
        <v>109.09090909090909</v>
      </c>
      <c r="D108" s="44">
        <f>'Device Selection'!$B$5*1000/A108/(SQRT(3)*('Device Selection'!$B$7*(C108)/SQRT(2))*'Device Selection'!$B$6)</f>
        <v>214.86752129677004</v>
      </c>
      <c r="E108" s="44">
        <f>A108*3*D108^2*('Device Selection'!$G$6/1000)/B108+A108*6*(('Device Selection'!$G$7+'Device Selection'!$G$8)/1000)*(C108/'Device Selection'!$G$9)*(D108/'Device Selection'!$G$10)*('Device Selection'!$G$11*1000)+A108*'Device Selection'!$B$15</f>
        <v>4617.6380130446805</v>
      </c>
      <c r="F108" s="45">
        <f>'Device Selection'!$B$5/('Device Selection'!$B$5+E108/1000)</f>
        <v>0.98484119946840731</v>
      </c>
      <c r="G108" s="44">
        <f>'Device Selection'!$B$10 + (E108/A108)*'Device Selection'!$G$14 + ((E108/A108-'Device Selection'!$B$15)/(6*B108))*('Device Selection'!$G$12+'Device Selection'!$G$13)</f>
        <v>92.108691092759386</v>
      </c>
      <c r="H108" s="55" t="str">
        <f>IF(AND(C108*(1+'Device Selection'!$B$8)&lt;='Device Selection'!$G$4,D108*(1+'Device Selection'!$B$9)/B108&lt;='Device Selection'!$G$5,G108&lt;='Device Selection'!$B$11),"OK","")</f>
        <v>OK</v>
      </c>
    </row>
    <row r="109" spans="1:8">
      <c r="A109" s="43">
        <v>11</v>
      </c>
      <c r="B109" s="43">
        <v>6</v>
      </c>
      <c r="C109" s="44">
        <f>'Device Selection'!$B$4/A109</f>
        <v>109.09090909090909</v>
      </c>
      <c r="D109" s="44">
        <f>'Device Selection'!$B$5*1000/A109/(SQRT(3)*('Device Selection'!$B$7*(C109)/SQRT(2))*'Device Selection'!$B$6)</f>
        <v>214.86752129677004</v>
      </c>
      <c r="E109" s="44">
        <f>A109*3*D109^2*('Device Selection'!$G$6/1000)/B109+A109*6*(('Device Selection'!$G$7+'Device Selection'!$G$8)/1000)*(C109/'Device Selection'!$G$9)*(D109/'Device Selection'!$G$10)*('Device Selection'!$G$11*1000)+A109*'Device Selection'!$B$15</f>
        <v>4363.7137286494817</v>
      </c>
      <c r="F109" s="45">
        <f>'Device Selection'!$B$5/('Device Selection'!$B$5+E109/1000)</f>
        <v>0.98566283189546078</v>
      </c>
      <c r="G109" s="44">
        <f>'Device Selection'!$B$10 + (E109/A109)*'Device Selection'!$G$14 + ((E109/A109-'Device Selection'!$B$15)/(6*B109))*('Device Selection'!$G$12+'Device Selection'!$G$13)</f>
        <v>90.716620731972284</v>
      </c>
      <c r="H109" s="55" t="str">
        <f>IF(AND(C109*(1+'Device Selection'!$B$8)&lt;='Device Selection'!$G$4,D109*(1+'Device Selection'!$B$9)/B109&lt;='Device Selection'!$G$5,G109&lt;='Device Selection'!$B$11),"OK","")</f>
        <v>OK</v>
      </c>
    </row>
    <row r="110" spans="1:8">
      <c r="A110" s="43">
        <v>11</v>
      </c>
      <c r="B110" s="43">
        <v>7</v>
      </c>
      <c r="C110" s="44">
        <f>'Device Selection'!$B$4/A110</f>
        <v>109.09090909090909</v>
      </c>
      <c r="D110" s="44">
        <f>'Device Selection'!$B$5*1000/A110/(SQRT(3)*('Device Selection'!$B$7*(C110)/SQRT(2))*'Device Selection'!$B$6)</f>
        <v>214.86752129677004</v>
      </c>
      <c r="E110" s="44">
        <f>A110*3*D110^2*('Device Selection'!$G$6/1000)/B110+A110*6*(('Device Selection'!$G$7+'Device Selection'!$G$8)/1000)*(C110/'Device Selection'!$G$9)*(D110/'Device Selection'!$G$10)*('Device Selection'!$G$11*1000)+A110*'Device Selection'!$B$15</f>
        <v>4182.3392397957687</v>
      </c>
      <c r="F110" s="45">
        <f>'Device Selection'!$B$5/('Device Selection'!$B$5+E110/1000)</f>
        <v>0.98625055205292922</v>
      </c>
      <c r="G110" s="44">
        <f>'Device Selection'!$B$10 + (E110/A110)*'Device Selection'!$G$14 + ((E110/A110-'Device Selection'!$B$15)/(6*B110))*('Device Selection'!$G$12+'Device Selection'!$G$13)</f>
        <v>89.734847495140215</v>
      </c>
      <c r="H110" s="55" t="str">
        <f>IF(AND(C110*(1+'Device Selection'!$B$8)&lt;='Device Selection'!$G$4,D110*(1+'Device Selection'!$B$9)/B110&lt;='Device Selection'!$G$5,G110&lt;='Device Selection'!$B$11),"OK","")</f>
        <v>OK</v>
      </c>
    </row>
    <row r="111" spans="1:8">
      <c r="A111" s="43">
        <v>11</v>
      </c>
      <c r="B111" s="43">
        <v>8</v>
      </c>
      <c r="C111" s="44">
        <f>'Device Selection'!$B$4/A111</f>
        <v>109.09090909090909</v>
      </c>
      <c r="D111" s="44">
        <f>'Device Selection'!$B$5*1000/A111/(SQRT(3)*('Device Selection'!$B$7*(C111)/SQRT(2))*'Device Selection'!$B$6)</f>
        <v>214.86752129677004</v>
      </c>
      <c r="E111" s="44">
        <f>A111*3*D111^2*('Device Selection'!$G$6/1000)/B111+A111*6*(('Device Selection'!$G$7+'Device Selection'!$G$8)/1000)*(C111/'Device Selection'!$G$9)*(D111/'Device Selection'!$G$10)*('Device Selection'!$G$11*1000)+A111*'Device Selection'!$B$15</f>
        <v>4046.3083731554834</v>
      </c>
      <c r="F111" s="45">
        <f>'Device Selection'!$B$5/('Device Selection'!$B$5+E111/1000)</f>
        <v>0.98669180232838249</v>
      </c>
      <c r="G111" s="44">
        <f>'Device Selection'!$B$10 + (E111/A111)*'Device Selection'!$G$14 + ((E111/A111-'Device Selection'!$B$15)/(6*B111))*('Device Selection'!$G$12+'Device Selection'!$G$13)</f>
        <v>89.005387813306072</v>
      </c>
      <c r="H111" s="55" t="str">
        <f>IF(AND(C111*(1+'Device Selection'!$B$8)&lt;='Device Selection'!$G$4,D111*(1+'Device Selection'!$B$9)/B111&lt;='Device Selection'!$G$5,G111&lt;='Device Selection'!$B$11),"OK","")</f>
        <v>OK</v>
      </c>
    </row>
    <row r="112" spans="1:8">
      <c r="A112" s="43">
        <v>11</v>
      </c>
      <c r="B112" s="43">
        <v>9</v>
      </c>
      <c r="C112" s="44">
        <f>'Device Selection'!$B$4/A112</f>
        <v>109.09090909090909</v>
      </c>
      <c r="D112" s="44">
        <f>'Device Selection'!$B$5*1000/A112/(SQRT(3)*('Device Selection'!$B$7*(C112)/SQRT(2))*'Device Selection'!$B$6)</f>
        <v>214.86752129677004</v>
      </c>
      <c r="E112" s="44">
        <f>A112*3*D112^2*('Device Selection'!$G$6/1000)/B112+A112*6*(('Device Selection'!$G$7+'Device Selection'!$G$8)/1000)*(C112/'Device Selection'!$G$9)*(D112/'Device Selection'!$G$10)*('Device Selection'!$G$11*1000)+A112*'Device Selection'!$B$15</f>
        <v>3940.5065879908175</v>
      </c>
      <c r="F112" s="45">
        <f>'Device Selection'!$B$5/('Device Selection'!$B$5+E112/1000)</f>
        <v>0.98703527005259495</v>
      </c>
      <c r="G112" s="44">
        <f>'Device Selection'!$B$10 + (E112/A112)*'Device Selection'!$G$14 + ((E112/A112-'Device Selection'!$B$15)/(6*B112))*('Device Selection'!$G$12+'Device Selection'!$G$13)</f>
        <v>88.442101539755015</v>
      </c>
      <c r="H112" s="55" t="str">
        <f>IF(AND(C112*(1+'Device Selection'!$B$8)&lt;='Device Selection'!$G$4,D112*(1+'Device Selection'!$B$9)/B112&lt;='Device Selection'!$G$5,G112&lt;='Device Selection'!$B$11),"OK","")</f>
        <v>OK</v>
      </c>
    </row>
    <row r="113" spans="1:8">
      <c r="A113" s="43">
        <v>11</v>
      </c>
      <c r="B113" s="43">
        <v>10</v>
      </c>
      <c r="C113" s="44">
        <f>'Device Selection'!$B$4/A113</f>
        <v>109.09090909090909</v>
      </c>
      <c r="D113" s="44">
        <f>'Device Selection'!$B$5*1000/A113/(SQRT(3)*('Device Selection'!$B$7*(C113)/SQRT(2))*'Device Selection'!$B$6)</f>
        <v>214.86752129677004</v>
      </c>
      <c r="E113" s="44">
        <f>A113*3*D113^2*('Device Selection'!$G$6/1000)/B113+A113*6*(('Device Selection'!$G$7+'Device Selection'!$G$8)/1000)*(C113/'Device Selection'!$G$9)*(D113/'Device Selection'!$G$10)*('Device Selection'!$G$11*1000)+A113*'Device Selection'!$B$15</f>
        <v>3855.8651598590845</v>
      </c>
      <c r="F113" s="45">
        <f>'Device Selection'!$B$5/('Device Selection'!$B$5+E113/1000)</f>
        <v>0.98731021644808303</v>
      </c>
      <c r="G113" s="44">
        <f>'Device Selection'!$B$10 + (E113/A113)*'Device Selection'!$G$14 + ((E113/A113-'Device Selection'!$B$15)/(6*B113))*('Device Selection'!$G$12+'Device Selection'!$G$13)</f>
        <v>87.994037412675723</v>
      </c>
      <c r="H113" s="55" t="str">
        <f>IF(AND(C113*(1+'Device Selection'!$B$8)&lt;='Device Selection'!$G$4,D113*(1+'Device Selection'!$B$9)/B113&lt;='Device Selection'!$G$5,G113&lt;='Device Selection'!$B$11),"OK","")</f>
        <v>OK</v>
      </c>
    </row>
    <row r="114" spans="1:8">
      <c r="A114" s="43">
        <v>12</v>
      </c>
      <c r="B114" s="43">
        <v>1</v>
      </c>
      <c r="C114" s="44">
        <f>'Device Selection'!$B$4/A114</f>
        <v>100</v>
      </c>
      <c r="D114" s="44">
        <f>'Device Selection'!$B$5*1000/A114/(SQRT(3)*('Device Selection'!$B$7*(C114)/SQRT(2))*'Device Selection'!$B$6)</f>
        <v>214.86752129677006</v>
      </c>
      <c r="E114" s="44">
        <f>A114*3*D114^2*('Device Selection'!$G$6/1000)/B114+A114*6*(('Device Selection'!$G$7+'Device Selection'!$G$8)/1000)*(C114/'Device Selection'!$G$9)*(D114/'Device Selection'!$G$10)*('Device Selection'!$G$11*1000)+A114*'Device Selection'!$B$15</f>
        <v>11404.34161415272</v>
      </c>
      <c r="F114" s="45">
        <f>'Device Selection'!$B$5/('Device Selection'!$B$5+E114/1000)</f>
        <v>0.9633777051564576</v>
      </c>
      <c r="G114" s="44">
        <f>'Device Selection'!$B$10 + (E114/A114)*'Device Selection'!$G$14 + ((E114/A114-'Device Selection'!$B$15)/(6*B114))*('Device Selection'!$G$12+'Device Selection'!$G$13)</f>
        <v>130.1895807413616</v>
      </c>
      <c r="H114" s="55" t="str">
        <f>IF(AND(C114*(1+'Device Selection'!$B$8)&lt;='Device Selection'!$G$4,D114*(1+'Device Selection'!$B$9)/B114&lt;='Device Selection'!$G$5,G114&lt;='Device Selection'!$B$11),"OK","")</f>
        <v/>
      </c>
    </row>
    <row r="115" spans="1:8">
      <c r="A115" s="43">
        <v>12</v>
      </c>
      <c r="B115" s="43">
        <v>2</v>
      </c>
      <c r="C115" s="44">
        <f>'Device Selection'!$B$4/A115</f>
        <v>100</v>
      </c>
      <c r="D115" s="44">
        <f>'Device Selection'!$B$5*1000/A115/(SQRT(3)*('Device Selection'!$B$7*(C115)/SQRT(2))*'Device Selection'!$B$6)</f>
        <v>214.86752129677006</v>
      </c>
      <c r="E115" s="44">
        <f>A115*3*D115^2*('Device Selection'!$G$6/1000)/B115+A115*6*(('Device Selection'!$G$7+'Device Selection'!$G$8)/1000)*(C115/'Device Selection'!$G$9)*(D115/'Device Selection'!$G$10)*('Device Selection'!$G$11*1000)+A115*'Device Selection'!$B$15</f>
        <v>7249.2169604131041</v>
      </c>
      <c r="F115" s="45">
        <f>'Device Selection'!$B$5/('Device Selection'!$B$5+E115/1000)</f>
        <v>0.97640606855851775</v>
      </c>
      <c r="G115" s="44">
        <f>'Device Selection'!$B$10 + (E115/A115)*'Device Selection'!$G$14 + ((E115/A115-'Device Selection'!$B$15)/(6*B115))*('Device Selection'!$G$12+'Device Selection'!$G$13)</f>
        <v>104.23241342417299</v>
      </c>
      <c r="H115" s="55" t="str">
        <f>IF(AND(C115*(1+'Device Selection'!$B$8)&lt;='Device Selection'!$G$4,D115*(1+'Device Selection'!$B$9)/B115&lt;='Device Selection'!$G$5,G115&lt;='Device Selection'!$B$11),"OK","")</f>
        <v/>
      </c>
    </row>
    <row r="116" spans="1:8">
      <c r="A116" s="43">
        <v>12</v>
      </c>
      <c r="B116" s="43">
        <v>3</v>
      </c>
      <c r="C116" s="44">
        <f>'Device Selection'!$B$4/A116</f>
        <v>100</v>
      </c>
      <c r="D116" s="44">
        <f>'Device Selection'!$B$5*1000/A116/(SQRT(3)*('Device Selection'!$B$7*(C116)/SQRT(2))*'Device Selection'!$B$6)</f>
        <v>214.86752129677006</v>
      </c>
      <c r="E116" s="44">
        <f>A116*3*D116^2*('Device Selection'!$G$6/1000)/B116+A116*6*(('Device Selection'!$G$7+'Device Selection'!$G$8)/1000)*(C116/'Device Selection'!$G$9)*(D116/'Device Selection'!$G$10)*('Device Selection'!$G$11*1000)+A116*'Device Selection'!$B$15</f>
        <v>5864.1754091665662</v>
      </c>
      <c r="F116" s="45">
        <f>'Device Selection'!$B$5/('Device Selection'!$B$5+E116/1000)</f>
        <v>0.98082751796178202</v>
      </c>
      <c r="G116" s="44">
        <f>'Device Selection'!$B$10 + (E116/A116)*'Device Selection'!$G$14 + ((E116/A116-'Device Selection'!$B$15)/(6*B116))*('Device Selection'!$G$12+'Device Selection'!$G$13)</f>
        <v>96.605981023070527</v>
      </c>
      <c r="H116" s="55" t="str">
        <f>IF(AND(C116*(1+'Device Selection'!$B$8)&lt;='Device Selection'!$G$4,D116*(1+'Device Selection'!$B$9)/B116&lt;='Device Selection'!$G$5,G116&lt;='Device Selection'!$B$11),"OK","")</f>
        <v>OK</v>
      </c>
    </row>
    <row r="117" spans="1:8">
      <c r="A117" s="43">
        <v>12</v>
      </c>
      <c r="B117" s="43">
        <v>4</v>
      </c>
      <c r="C117" s="44">
        <f>'Device Selection'!$B$4/A117</f>
        <v>100</v>
      </c>
      <c r="D117" s="44">
        <f>'Device Selection'!$B$5*1000/A117/(SQRT(3)*('Device Selection'!$B$7*(C117)/SQRT(2))*'Device Selection'!$B$6)</f>
        <v>214.86752129677006</v>
      </c>
      <c r="E117" s="44">
        <f>A117*3*D117^2*('Device Selection'!$G$6/1000)/B117+A117*6*(('Device Selection'!$G$7+'Device Selection'!$G$8)/1000)*(C117/'Device Selection'!$G$9)*(D117/'Device Selection'!$G$10)*('Device Selection'!$G$11*1000)+A117*'Device Selection'!$B$15</f>
        <v>5171.6546335432968</v>
      </c>
      <c r="F117" s="45">
        <f>'Device Selection'!$B$5/('Device Selection'!$B$5+E117/1000)</f>
        <v>0.98305329294179189</v>
      </c>
      <c r="G117" s="44">
        <f>'Device Selection'!$B$10 + (E117/A117)*'Device Selection'!$G$14 + ((E117/A117-'Device Selection'!$B$15)/(6*B117))*('Device Selection'!$G$12+'Device Selection'!$G$13)</f>
        <v>92.985131704636871</v>
      </c>
      <c r="H117" s="55" t="str">
        <f>IF(AND(C117*(1+'Device Selection'!$B$8)&lt;='Device Selection'!$G$4,D117*(1+'Device Selection'!$B$9)/B117&lt;='Device Selection'!$G$5,G117&lt;='Device Selection'!$B$11),"OK","")</f>
        <v>OK</v>
      </c>
    </row>
    <row r="118" spans="1:8">
      <c r="A118" s="43">
        <v>12</v>
      </c>
      <c r="B118" s="43">
        <v>5</v>
      </c>
      <c r="C118" s="44">
        <f>'Device Selection'!$B$4/A118</f>
        <v>100</v>
      </c>
      <c r="D118" s="44">
        <f>'Device Selection'!$B$5*1000/A118/(SQRT(3)*('Device Selection'!$B$7*(C118)/SQRT(2))*'Device Selection'!$B$6)</f>
        <v>214.86752129677006</v>
      </c>
      <c r="E118" s="44">
        <f>A118*3*D118^2*('Device Selection'!$G$6/1000)/B118+A118*6*(('Device Selection'!$G$7+'Device Selection'!$G$8)/1000)*(C118/'Device Selection'!$G$9)*(D118/'Device Selection'!$G$10)*('Device Selection'!$G$11*1000)+A118*'Device Selection'!$B$15</f>
        <v>4756.1421681693355</v>
      </c>
      <c r="F118" s="45">
        <f>'Device Selection'!$B$5/('Device Selection'!$B$5+E118/1000)</f>
        <v>0.9843936134171668</v>
      </c>
      <c r="G118" s="44">
        <f>'Device Selection'!$B$10 + (E118/A118)*'Device Selection'!$G$14 + ((E118/A118-'Device Selection'!$B$15)/(6*B118))*('Device Selection'!$G$12+'Device Selection'!$G$13)</f>
        <v>90.874179515854308</v>
      </c>
      <c r="H118" s="55" t="str">
        <f>IF(AND(C118*(1+'Device Selection'!$B$8)&lt;='Device Selection'!$G$4,D118*(1+'Device Selection'!$B$9)/B118&lt;='Device Selection'!$G$5,G118&lt;='Device Selection'!$B$11),"OK","")</f>
        <v>OK</v>
      </c>
    </row>
    <row r="119" spans="1:8">
      <c r="A119" s="43">
        <v>12</v>
      </c>
      <c r="B119" s="43">
        <v>6</v>
      </c>
      <c r="C119" s="44">
        <f>'Device Selection'!$B$4/A119</f>
        <v>100</v>
      </c>
      <c r="D119" s="44">
        <f>'Device Selection'!$B$5*1000/A119/(SQRT(3)*('Device Selection'!$B$7*(C119)/SQRT(2))*'Device Selection'!$B$6)</f>
        <v>214.86752129677006</v>
      </c>
      <c r="E119" s="44">
        <f>A119*3*D119^2*('Device Selection'!$G$6/1000)/B119+A119*6*(('Device Selection'!$G$7+'Device Selection'!$G$8)/1000)*(C119/'Device Selection'!$G$9)*(D119/'Device Selection'!$G$10)*('Device Selection'!$G$11*1000)+A119*'Device Selection'!$B$15</f>
        <v>4479.1338579200274</v>
      </c>
      <c r="F119" s="45">
        <f>'Device Selection'!$B$5/('Device Selection'!$B$5+E119/1000)</f>
        <v>0.98528919272343263</v>
      </c>
      <c r="G119" s="44">
        <f>'Device Selection'!$B$10 + (E119/A119)*'Device Selection'!$G$14 + ((E119/A119-'Device Selection'!$B$15)/(6*B119))*('Device Selection'!$G$12+'Device Selection'!$G$13)</f>
        <v>89.492526974281603</v>
      </c>
      <c r="H119" s="55" t="str">
        <f>IF(AND(C119*(1+'Device Selection'!$B$8)&lt;='Device Selection'!$G$4,D119*(1+'Device Selection'!$B$9)/B119&lt;='Device Selection'!$G$5,G119&lt;='Device Selection'!$B$11),"OK","")</f>
        <v>OK</v>
      </c>
    </row>
    <row r="120" spans="1:8">
      <c r="A120" s="43">
        <v>12</v>
      </c>
      <c r="B120" s="43">
        <v>7</v>
      </c>
      <c r="C120" s="44">
        <f>'Device Selection'!$B$4/A120</f>
        <v>100</v>
      </c>
      <c r="D120" s="44">
        <f>'Device Selection'!$B$5*1000/A120/(SQRT(3)*('Device Selection'!$B$7*(C120)/SQRT(2))*'Device Selection'!$B$6)</f>
        <v>214.86752129677006</v>
      </c>
      <c r="E120" s="44">
        <f>A120*3*D120^2*('Device Selection'!$G$6/1000)/B120+A120*6*(('Device Selection'!$G$7+'Device Selection'!$G$8)/1000)*(C120/'Device Selection'!$G$9)*(D120/'Device Selection'!$G$10)*('Device Selection'!$G$11*1000)+A120*'Device Selection'!$B$15</f>
        <v>4281.2707791705225</v>
      </c>
      <c r="F120" s="45">
        <f>'Device Selection'!$B$5/('Device Selection'!$B$5+E120/1000)</f>
        <v>0.98592989056405766</v>
      </c>
      <c r="G120" s="44">
        <f>'Device Selection'!$B$10 + (E120/A120)*'Device Selection'!$G$14 + ((E120/A120-'Device Selection'!$B$15)/(6*B120))*('Device Selection'!$G$12+'Device Selection'!$G$13)</f>
        <v>88.518195036888372</v>
      </c>
      <c r="H120" s="55" t="str">
        <f>IF(AND(C120*(1+'Device Selection'!$B$8)&lt;='Device Selection'!$G$4,D120*(1+'Device Selection'!$B$9)/B120&lt;='Device Selection'!$G$5,G120&lt;='Device Selection'!$B$11),"OK","")</f>
        <v>OK</v>
      </c>
    </row>
    <row r="121" spans="1:8">
      <c r="A121" s="43">
        <v>12</v>
      </c>
      <c r="B121" s="43">
        <v>8</v>
      </c>
      <c r="C121" s="44">
        <f>'Device Selection'!$B$4/A121</f>
        <v>100</v>
      </c>
      <c r="D121" s="44">
        <f>'Device Selection'!$B$5*1000/A121/(SQRT(3)*('Device Selection'!$B$7*(C121)/SQRT(2))*'Device Selection'!$B$6)</f>
        <v>214.86752129677006</v>
      </c>
      <c r="E121" s="44">
        <f>A121*3*D121^2*('Device Selection'!$G$6/1000)/B121+A121*6*(('Device Selection'!$G$7+'Device Selection'!$G$8)/1000)*(C121/'Device Selection'!$G$9)*(D121/'Device Selection'!$G$10)*('Device Selection'!$G$11*1000)+A121*'Device Selection'!$B$15</f>
        <v>4132.8734701083931</v>
      </c>
      <c r="F121" s="45">
        <f>'Device Selection'!$B$5/('Device Selection'!$B$5+E121/1000)</f>
        <v>0.98641096102847103</v>
      </c>
      <c r="G121" s="44">
        <f>'Device Selection'!$B$10 + (E121/A121)*'Device Selection'!$G$14 + ((E121/A121-'Device Selection'!$B$15)/(6*B121))*('Device Selection'!$G$12+'Device Selection'!$G$13)</f>
        <v>87.794316329633361</v>
      </c>
      <c r="H121" s="55" t="str">
        <f>IF(AND(C121*(1+'Device Selection'!$B$8)&lt;='Device Selection'!$G$4,D121*(1+'Device Selection'!$B$9)/B121&lt;='Device Selection'!$G$5,G121&lt;='Device Selection'!$B$11),"OK","")</f>
        <v>OK</v>
      </c>
    </row>
    <row r="122" spans="1:8">
      <c r="A122" s="43">
        <v>12</v>
      </c>
      <c r="B122" s="43">
        <v>9</v>
      </c>
      <c r="C122" s="44">
        <f>'Device Selection'!$B$4/A122</f>
        <v>100</v>
      </c>
      <c r="D122" s="44">
        <f>'Device Selection'!$B$5*1000/A122/(SQRT(3)*('Device Selection'!$B$7*(C122)/SQRT(2))*'Device Selection'!$B$6)</f>
        <v>214.86752129677006</v>
      </c>
      <c r="E122" s="44">
        <f>A122*3*D122^2*('Device Selection'!$G$6/1000)/B122+A122*6*(('Device Selection'!$G$7+'Device Selection'!$G$8)/1000)*(C122/'Device Selection'!$G$9)*(D122/'Device Selection'!$G$10)*('Device Selection'!$G$11*1000)+A122*'Device Selection'!$B$15</f>
        <v>4017.4533408378484</v>
      </c>
      <c r="F122" s="45">
        <f>'Device Selection'!$B$5/('Device Selection'!$B$5+E122/1000)</f>
        <v>0.9867854516354565</v>
      </c>
      <c r="G122" s="44">
        <f>'Device Selection'!$B$10 + (E122/A122)*'Device Selection'!$G$14 + ((E122/A122-'Device Selection'!$B$15)/(6*B122))*('Device Selection'!$G$12+'Device Selection'!$G$13)</f>
        <v>87.235370814088313</v>
      </c>
      <c r="H122" s="55" t="str">
        <f>IF(AND(C122*(1+'Device Selection'!$B$8)&lt;='Device Selection'!$G$4,D122*(1+'Device Selection'!$B$9)/B122&lt;='Device Selection'!$G$5,G122&lt;='Device Selection'!$B$11),"OK","")</f>
        <v>OK</v>
      </c>
    </row>
    <row r="123" spans="1:8">
      <c r="A123" s="43">
        <v>12</v>
      </c>
      <c r="B123" s="43">
        <v>10</v>
      </c>
      <c r="C123" s="44">
        <f>'Device Selection'!$B$4/A123</f>
        <v>100</v>
      </c>
      <c r="D123" s="44">
        <f>'Device Selection'!$B$5*1000/A123/(SQRT(3)*('Device Selection'!$B$7*(C123)/SQRT(2))*'Device Selection'!$B$6)</f>
        <v>214.86752129677006</v>
      </c>
      <c r="E123" s="44">
        <f>A123*3*D123^2*('Device Selection'!$G$6/1000)/B123+A123*6*(('Device Selection'!$G$7+'Device Selection'!$G$8)/1000)*(C123/'Device Selection'!$G$9)*(D123/'Device Selection'!$G$10)*('Device Selection'!$G$11*1000)+A123*'Device Selection'!$B$15</f>
        <v>3925.1172374214125</v>
      </c>
      <c r="F123" s="45">
        <f>'Device Selection'!$B$5/('Device Selection'!$B$5+E123/1000)</f>
        <v>0.98708524891559002</v>
      </c>
      <c r="G123" s="44">
        <f>'Device Selection'!$B$10 + (E123/A123)*'Device Selection'!$G$14 + ((E123/A123-'Device Selection'!$B$15)/(6*B123))*('Device Selection'!$G$12+'Device Selection'!$G$13)</f>
        <v>86.79077929341382</v>
      </c>
      <c r="H123" s="55" t="str">
        <f>IF(AND(C123*(1+'Device Selection'!$B$8)&lt;='Device Selection'!$G$4,D123*(1+'Device Selection'!$B$9)/B123&lt;='Device Selection'!$G$5,G123&lt;='Device Selection'!$B$11),"OK","")</f>
        <v>OK</v>
      </c>
    </row>
    <row r="124" spans="1:8">
      <c r="A124" s="43">
        <v>13</v>
      </c>
      <c r="B124" s="43">
        <v>1</v>
      </c>
      <c r="C124" s="44">
        <f>'Device Selection'!$B$4/A124</f>
        <v>92.307692307692307</v>
      </c>
      <c r="D124" s="44">
        <f>'Device Selection'!$B$5*1000/A124/(SQRT(3)*('Device Selection'!$B$7*(C124)/SQRT(2))*'Device Selection'!$B$6)</f>
        <v>214.86752129677006</v>
      </c>
      <c r="E124" s="44">
        <f>A124*3*D124^2*('Device Selection'!$G$6/1000)/B124+A124*6*(('Device Selection'!$G$7+'Device Selection'!$G$8)/1000)*(C124/'Device Selection'!$G$9)*(D124/'Device Selection'!$G$10)*('Device Selection'!$G$11*1000)+A124*'Device Selection'!$B$15</f>
        <v>12096.862389775986</v>
      </c>
      <c r="F124" s="45">
        <f>'Device Selection'!$B$5/('Device Selection'!$B$5+E124/1000)</f>
        <v>0.96124003843823236</v>
      </c>
      <c r="G124" s="44">
        <f>'Device Selection'!$B$10 + (E124/A124)*'Device Selection'!$G$14 + ((E124/A124-'Device Selection'!$B$15)/(6*B124))*('Device Selection'!$G$12+'Device Selection'!$G$13)</f>
        <v>128.93343215531891</v>
      </c>
      <c r="H124" s="55" t="str">
        <f>IF(AND(C124*(1+'Device Selection'!$B$8)&lt;='Device Selection'!$G$4,D124*(1+'Device Selection'!$B$9)/B124&lt;='Device Selection'!$G$5,G124&lt;='Device Selection'!$B$11),"OK","")</f>
        <v/>
      </c>
    </row>
    <row r="125" spans="1:8">
      <c r="A125" s="43">
        <v>13</v>
      </c>
      <c r="B125" s="43">
        <v>2</v>
      </c>
      <c r="C125" s="44">
        <f>'Device Selection'!$B$4/A125</f>
        <v>92.307692307692307</v>
      </c>
      <c r="D125" s="44">
        <f>'Device Selection'!$B$5*1000/A125/(SQRT(3)*('Device Selection'!$B$7*(C125)/SQRT(2))*'Device Selection'!$B$6)</f>
        <v>214.86752129677006</v>
      </c>
      <c r="E125" s="44">
        <f>A125*3*D125^2*('Device Selection'!$G$6/1000)/B125+A125*6*(('Device Selection'!$G$7+'Device Selection'!$G$8)/1000)*(C125/'Device Selection'!$G$9)*(D125/'Device Selection'!$G$10)*('Device Selection'!$G$11*1000)+A125*'Device Selection'!$B$15</f>
        <v>7595.4773482247383</v>
      </c>
      <c r="F125" s="45">
        <f>'Device Selection'!$B$5/('Device Selection'!$B$5+E125/1000)</f>
        <v>0.97530692774254935</v>
      </c>
      <c r="G125" s="44">
        <f>'Device Selection'!$B$10 + (E125/A125)*'Device Selection'!$G$14 + ((E125/A125-'Device Selection'!$B$15)/(6*B125))*('Device Selection'!$G$12+'Device Selection'!$G$13)</f>
        <v>103.1084910050822</v>
      </c>
      <c r="H125" s="55" t="str">
        <f>IF(AND(C125*(1+'Device Selection'!$B$8)&lt;='Device Selection'!$G$4,D125*(1+'Device Selection'!$B$9)/B125&lt;='Device Selection'!$G$5,G125&lt;='Device Selection'!$B$11),"OK","")</f>
        <v/>
      </c>
    </row>
    <row r="126" spans="1:8">
      <c r="A126" s="43">
        <v>13</v>
      </c>
      <c r="B126" s="43">
        <v>3</v>
      </c>
      <c r="C126" s="44">
        <f>'Device Selection'!$B$4/A126</f>
        <v>92.307692307692307</v>
      </c>
      <c r="D126" s="44">
        <f>'Device Selection'!$B$5*1000/A126/(SQRT(3)*('Device Selection'!$B$7*(C126)/SQRT(2))*'Device Selection'!$B$6)</f>
        <v>214.86752129677006</v>
      </c>
      <c r="E126" s="44">
        <f>A126*3*D126^2*('Device Selection'!$G$6/1000)/B126+A126*6*(('Device Selection'!$G$7+'Device Selection'!$G$8)/1000)*(C126/'Device Selection'!$G$9)*(D126/'Device Selection'!$G$10)*('Device Selection'!$G$11*1000)+A126*'Device Selection'!$B$15</f>
        <v>6095.0156677076548</v>
      </c>
      <c r="F126" s="45">
        <f>'Device Selection'!$B$5/('Device Selection'!$B$5+E126/1000)</f>
        <v>0.98008783104680053</v>
      </c>
      <c r="G126" s="44">
        <f>'Device Selection'!$B$10 + (E126/A126)*'Device Selection'!$G$14 + ((E126/A126-'Device Selection'!$B$15)/(6*B126))*('Device Selection'!$G$12+'Device Selection'!$G$13)</f>
        <v>95.526133992963693</v>
      </c>
      <c r="H126" s="55" t="str">
        <f>IF(AND(C126*(1+'Device Selection'!$B$8)&lt;='Device Selection'!$G$4,D126*(1+'Device Selection'!$B$9)/B126&lt;='Device Selection'!$G$5,G126&lt;='Device Selection'!$B$11),"OK","")</f>
        <v>OK</v>
      </c>
    </row>
    <row r="127" spans="1:8">
      <c r="A127" s="43">
        <v>13</v>
      </c>
      <c r="B127" s="43">
        <v>4</v>
      </c>
      <c r="C127" s="44">
        <f>'Device Selection'!$B$4/A127</f>
        <v>92.307692307692307</v>
      </c>
      <c r="D127" s="44">
        <f>'Device Selection'!$B$5*1000/A127/(SQRT(3)*('Device Selection'!$B$7*(C127)/SQRT(2))*'Device Selection'!$B$6)</f>
        <v>214.86752129677006</v>
      </c>
      <c r="E127" s="44">
        <f>A127*3*D127^2*('Device Selection'!$G$6/1000)/B127+A127*6*(('Device Selection'!$G$7+'Device Selection'!$G$8)/1000)*(C127/'Device Selection'!$G$9)*(D127/'Device Selection'!$G$10)*('Device Selection'!$G$11*1000)+A127*'Device Selection'!$B$15</f>
        <v>5344.7848274491134</v>
      </c>
      <c r="F127" s="45">
        <f>'Device Selection'!$B$5/('Device Selection'!$B$5+E127/1000)</f>
        <v>0.98249590268761433</v>
      </c>
      <c r="G127" s="44">
        <f>'Device Selection'!$B$10 + (E127/A127)*'Device Selection'!$G$14 + ((E127/A127-'Device Selection'!$B$15)/(6*B127))*('Device Selection'!$G$12+'Device Selection'!$G$13)</f>
        <v>91.927322369022008</v>
      </c>
      <c r="H127" s="55" t="str">
        <f>IF(AND(C127*(1+'Device Selection'!$B$8)&lt;='Device Selection'!$G$4,D127*(1+'Device Selection'!$B$9)/B127&lt;='Device Selection'!$G$5,G127&lt;='Device Selection'!$B$11),"OK","")</f>
        <v>OK</v>
      </c>
    </row>
    <row r="128" spans="1:8">
      <c r="A128" s="43">
        <v>13</v>
      </c>
      <c r="B128" s="43">
        <v>5</v>
      </c>
      <c r="C128" s="44">
        <f>'Device Selection'!$B$4/A128</f>
        <v>92.307692307692307</v>
      </c>
      <c r="D128" s="44">
        <f>'Device Selection'!$B$5*1000/A128/(SQRT(3)*('Device Selection'!$B$7*(C128)/SQRT(2))*'Device Selection'!$B$6)</f>
        <v>214.86752129677006</v>
      </c>
      <c r="E128" s="44">
        <f>A128*3*D128^2*('Device Selection'!$G$6/1000)/B128+A128*6*(('Device Selection'!$G$7+'Device Selection'!$G$8)/1000)*(C128/'Device Selection'!$G$9)*(D128/'Device Selection'!$G$10)*('Device Selection'!$G$11*1000)+A128*'Device Selection'!$B$15</f>
        <v>4894.6463232939886</v>
      </c>
      <c r="F128" s="45">
        <f>'Device Selection'!$B$5/('Device Selection'!$B$5+E128/1000)</f>
        <v>0.98394643401477111</v>
      </c>
      <c r="G128" s="44">
        <f>'Device Selection'!$B$10 + (E128/A128)*'Device Selection'!$G$14 + ((E128/A128-'Device Selection'!$B$15)/(6*B128))*('Device Selection'!$G$12+'Device Selection'!$G$13)</f>
        <v>89.82959279693462</v>
      </c>
      <c r="H128" s="55" t="str">
        <f>IF(AND(C128*(1+'Device Selection'!$B$8)&lt;='Device Selection'!$G$4,D128*(1+'Device Selection'!$B$9)/B128&lt;='Device Selection'!$G$5,G128&lt;='Device Selection'!$B$11),"OK","")</f>
        <v>OK</v>
      </c>
    </row>
    <row r="129" spans="1:8">
      <c r="A129" s="43">
        <v>13</v>
      </c>
      <c r="B129" s="43">
        <v>6</v>
      </c>
      <c r="C129" s="44">
        <f>'Device Selection'!$B$4/A129</f>
        <v>92.307692307692307</v>
      </c>
      <c r="D129" s="44">
        <f>'Device Selection'!$B$5*1000/A129/(SQRT(3)*('Device Selection'!$B$7*(C129)/SQRT(2))*'Device Selection'!$B$6)</f>
        <v>214.86752129677006</v>
      </c>
      <c r="E129" s="44">
        <f>A129*3*D129^2*('Device Selection'!$G$6/1000)/B129+A129*6*(('Device Selection'!$G$7+'Device Selection'!$G$8)/1000)*(C129/'Device Selection'!$G$9)*(D129/'Device Selection'!$G$10)*('Device Selection'!$G$11*1000)+A129*'Device Selection'!$B$15</f>
        <v>4594.5539871905721</v>
      </c>
      <c r="F129" s="45">
        <f>'Device Selection'!$B$5/('Device Selection'!$B$5+E129/1000)</f>
        <v>0.9849158367178692</v>
      </c>
      <c r="G129" s="44">
        <f>'Device Selection'!$B$10 + (E129/A129)*'Device Selection'!$G$14 + ((E129/A129-'Device Selection'!$B$15)/(6*B129))*('Device Selection'!$G$12+'Device Selection'!$G$13)</f>
        <v>88.456755333158711</v>
      </c>
      <c r="H129" s="55" t="str">
        <f>IF(AND(C129*(1+'Device Selection'!$B$8)&lt;='Device Selection'!$G$4,D129*(1+'Device Selection'!$B$9)/B129&lt;='Device Selection'!$G$5,G129&lt;='Device Selection'!$B$11),"OK","")</f>
        <v>OK</v>
      </c>
    </row>
    <row r="130" spans="1:8">
      <c r="A130" s="43">
        <v>13</v>
      </c>
      <c r="B130" s="43">
        <v>7</v>
      </c>
      <c r="C130" s="44">
        <f>'Device Selection'!$B$4/A130</f>
        <v>92.307692307692307</v>
      </c>
      <c r="D130" s="44">
        <f>'Device Selection'!$B$5*1000/A130/(SQRT(3)*('Device Selection'!$B$7*(C130)/SQRT(2))*'Device Selection'!$B$6)</f>
        <v>214.86752129677006</v>
      </c>
      <c r="E130" s="44">
        <f>A130*3*D130^2*('Device Selection'!$G$6/1000)/B130+A130*6*(('Device Selection'!$G$7+'Device Selection'!$G$8)/1000)*(C130/'Device Selection'!$G$9)*(D130/'Device Selection'!$G$10)*('Device Selection'!$G$11*1000)+A130*'Device Selection'!$B$15</f>
        <v>4380.2023185452745</v>
      </c>
      <c r="F130" s="45">
        <f>'Device Selection'!$B$5/('Device Selection'!$B$5+E130/1000)</f>
        <v>0.98560943752195407</v>
      </c>
      <c r="G130" s="44">
        <f>'Device Selection'!$B$10 + (E130/A130)*'Device Selection'!$G$14 + ((E130/A130-'Device Selection'!$B$15)/(6*B130))*('Device Selection'!$G$12+'Device Selection'!$G$13)</f>
        <v>87.488719879906043</v>
      </c>
      <c r="H130" s="55" t="str">
        <f>IF(AND(C130*(1+'Device Selection'!$B$8)&lt;='Device Selection'!$G$4,D130*(1+'Device Selection'!$B$9)/B130&lt;='Device Selection'!$G$5,G130&lt;='Device Selection'!$B$11),"OK","")</f>
        <v>OK</v>
      </c>
    </row>
    <row r="131" spans="1:8">
      <c r="A131" s="43">
        <v>13</v>
      </c>
      <c r="B131" s="43">
        <v>8</v>
      </c>
      <c r="C131" s="44">
        <f>'Device Selection'!$B$4/A131</f>
        <v>92.307692307692307</v>
      </c>
      <c r="D131" s="44">
        <f>'Device Selection'!$B$5*1000/A131/(SQRT(3)*('Device Selection'!$B$7*(C131)/SQRT(2))*'Device Selection'!$B$6)</f>
        <v>214.86752129677006</v>
      </c>
      <c r="E131" s="44">
        <f>A131*3*D131^2*('Device Selection'!$G$6/1000)/B131+A131*6*(('Device Selection'!$G$7+'Device Selection'!$G$8)/1000)*(C131/'Device Selection'!$G$9)*(D131/'Device Selection'!$G$10)*('Device Selection'!$G$11*1000)+A131*'Device Selection'!$B$15</f>
        <v>4219.438567061301</v>
      </c>
      <c r="F131" s="45">
        <f>'Device Selection'!$B$5/('Device Selection'!$B$5+E131/1000)</f>
        <v>0.98613027955433841</v>
      </c>
      <c r="G131" s="44">
        <f>'Device Selection'!$B$10 + (E131/A131)*'Device Selection'!$G$14 + ((E131/A131-'Device Selection'!$B$15)/(6*B131))*('Device Selection'!$G$12+'Device Selection'!$G$13)</f>
        <v>86.769563535756447</v>
      </c>
      <c r="H131" s="55" t="str">
        <f>IF(AND(C131*(1+'Device Selection'!$B$8)&lt;='Device Selection'!$G$4,D131*(1+'Device Selection'!$B$9)/B131&lt;='Device Selection'!$G$5,G131&lt;='Device Selection'!$B$11),"OK","")</f>
        <v>OK</v>
      </c>
    </row>
    <row r="132" spans="1:8">
      <c r="A132" s="43">
        <v>13</v>
      </c>
      <c r="B132" s="43">
        <v>9</v>
      </c>
      <c r="C132" s="44">
        <f>'Device Selection'!$B$4/A132</f>
        <v>92.307692307692307</v>
      </c>
      <c r="D132" s="44">
        <f>'Device Selection'!$B$5*1000/A132/(SQRT(3)*('Device Selection'!$B$7*(C132)/SQRT(2))*'Device Selection'!$B$6)</f>
        <v>214.86752129677006</v>
      </c>
      <c r="E132" s="44">
        <f>A132*3*D132^2*('Device Selection'!$G$6/1000)/B132+A132*6*(('Device Selection'!$G$7+'Device Selection'!$G$8)/1000)*(C132/'Device Selection'!$G$9)*(D132/'Device Selection'!$G$10)*('Device Selection'!$G$11*1000)+A132*'Device Selection'!$B$15</f>
        <v>4094.4000936848779</v>
      </c>
      <c r="F132" s="45">
        <f>'Device Selection'!$B$5/('Device Selection'!$B$5+E132/1000)</f>
        <v>0.9865357596442963</v>
      </c>
      <c r="G132" s="44">
        <f>'Device Selection'!$B$10 + (E132/A132)*'Device Selection'!$G$14 + ((E132/A132-'Device Selection'!$B$15)/(6*B132))*('Device Selection'!$G$12+'Device Selection'!$G$13)</f>
        <v>86.214290969293387</v>
      </c>
      <c r="H132" s="55" t="str">
        <f>IF(AND(C132*(1+'Device Selection'!$B$8)&lt;='Device Selection'!$G$4,D132*(1+'Device Selection'!$B$9)/B132&lt;='Device Selection'!$G$5,G132&lt;='Device Selection'!$B$11),"OK","")</f>
        <v>OK</v>
      </c>
    </row>
    <row r="133" spans="1:8">
      <c r="A133" s="43">
        <v>13</v>
      </c>
      <c r="B133" s="43">
        <v>10</v>
      </c>
      <c r="C133" s="44">
        <f>'Device Selection'!$B$4/A133</f>
        <v>92.307692307692307</v>
      </c>
      <c r="D133" s="44">
        <f>'Device Selection'!$B$5*1000/A133/(SQRT(3)*('Device Selection'!$B$7*(C133)/SQRT(2))*'Device Selection'!$B$6)</f>
        <v>214.86752129677006</v>
      </c>
      <c r="E133" s="44">
        <f>A133*3*D133^2*('Device Selection'!$G$6/1000)/B133+A133*6*(('Device Selection'!$G$7+'Device Selection'!$G$8)/1000)*(C133/'Device Selection'!$G$9)*(D133/'Device Selection'!$G$10)*('Device Selection'!$G$11*1000)+A133*'Device Selection'!$B$15</f>
        <v>3994.3693149837391</v>
      </c>
      <c r="F133" s="45">
        <f>'Device Selection'!$B$5/('Device Selection'!$B$5+E133/1000)</f>
        <v>0.98686038388150221</v>
      </c>
      <c r="G133" s="44">
        <f>'Device Selection'!$B$10 + (E133/A133)*'Device Selection'!$G$14 + ((E133/A133-'Device Selection'!$B$15)/(6*B133))*('Device Selection'!$G$12+'Device Selection'!$G$13)</f>
        <v>85.772637807884507</v>
      </c>
      <c r="H133" s="55" t="str">
        <f>IF(AND(C133*(1+'Device Selection'!$B$8)&lt;='Device Selection'!$G$4,D133*(1+'Device Selection'!$B$9)/B133&lt;='Device Selection'!$G$5,G133&lt;='Device Selection'!$B$11),"OK","")</f>
        <v>OK</v>
      </c>
    </row>
    <row r="134" spans="1:8">
      <c r="A134" s="43">
        <v>14</v>
      </c>
      <c r="B134" s="43">
        <v>1</v>
      </c>
      <c r="C134" s="44">
        <f>'Device Selection'!$B$4/A134</f>
        <v>85.714285714285708</v>
      </c>
      <c r="D134" s="44">
        <f>'Device Selection'!$B$5*1000/A134/(SQRT(3)*('Device Selection'!$B$7*(C134)/SQRT(2))*'Device Selection'!$B$6)</f>
        <v>214.86752129677006</v>
      </c>
      <c r="E134" s="44">
        <f>A134*3*D134^2*('Device Selection'!$G$6/1000)/B134+A134*6*(('Device Selection'!$G$7+'Device Selection'!$G$8)/1000)*(C134/'Device Selection'!$G$9)*(D134/'Device Selection'!$G$10)*('Device Selection'!$G$11*1000)+A134*'Device Selection'!$B$15</f>
        <v>12789.383165399257</v>
      </c>
      <c r="F134" s="45">
        <f>'Device Selection'!$B$5/('Device Selection'!$B$5+E134/1000)</f>
        <v>0.95911183737768879</v>
      </c>
      <c r="G134" s="44">
        <f>'Device Selection'!$B$10 + (E134/A134)*'Device Selection'!$G$14 + ((E134/A134-'Device Selection'!$B$15)/(6*B134))*('Device Selection'!$G$12+'Device Selection'!$G$13)</f>
        <v>127.85673336728235</v>
      </c>
      <c r="H134" s="55" t="str">
        <f>IF(AND(C134*(1+'Device Selection'!$B$8)&lt;='Device Selection'!$G$4,D134*(1+'Device Selection'!$B$9)/B134&lt;='Device Selection'!$G$5,G134&lt;='Device Selection'!$B$11),"OK","")</f>
        <v/>
      </c>
    </row>
    <row r="135" spans="1:8">
      <c r="A135" s="43">
        <v>14</v>
      </c>
      <c r="B135" s="43">
        <v>2</v>
      </c>
      <c r="C135" s="44">
        <f>'Device Selection'!$B$4/A135</f>
        <v>85.714285714285708</v>
      </c>
      <c r="D135" s="44">
        <f>'Device Selection'!$B$5*1000/A135/(SQRT(3)*('Device Selection'!$B$7*(C135)/SQRT(2))*'Device Selection'!$B$6)</f>
        <v>214.86752129677006</v>
      </c>
      <c r="E135" s="44">
        <f>A135*3*D135^2*('Device Selection'!$G$6/1000)/B135+A135*6*(('Device Selection'!$G$7+'Device Selection'!$G$8)/1000)*(C135/'Device Selection'!$G$9)*(D135/'Device Selection'!$G$10)*('Device Selection'!$G$11*1000)+A135*'Device Selection'!$B$15</f>
        <v>7941.7377360363735</v>
      </c>
      <c r="F135" s="45">
        <f>'Device Selection'!$B$5/('Device Selection'!$B$5+E135/1000)</f>
        <v>0.97421025875081624</v>
      </c>
      <c r="G135" s="44">
        <f>'Device Selection'!$B$10 + (E135/A135)*'Device Selection'!$G$14 + ((E135/A135-'Device Selection'!$B$15)/(6*B135))*('Device Selection'!$G$12+'Device Selection'!$G$13)</f>
        <v>102.1451289315758</v>
      </c>
      <c r="H135" s="55" t="str">
        <f>IF(AND(C135*(1+'Device Selection'!$B$8)&lt;='Device Selection'!$G$4,D135*(1+'Device Selection'!$B$9)/B135&lt;='Device Selection'!$G$5,G135&lt;='Device Selection'!$B$11),"OK","")</f>
        <v/>
      </c>
    </row>
    <row r="136" spans="1:8">
      <c r="A136" s="43">
        <v>14</v>
      </c>
      <c r="B136" s="43">
        <v>3</v>
      </c>
      <c r="C136" s="44">
        <f>'Device Selection'!$B$4/A136</f>
        <v>85.714285714285708</v>
      </c>
      <c r="D136" s="44">
        <f>'Device Selection'!$B$5*1000/A136/(SQRT(3)*('Device Selection'!$B$7*(C136)/SQRT(2))*'Device Selection'!$B$6)</f>
        <v>214.86752129677006</v>
      </c>
      <c r="E136" s="44">
        <f>A136*3*D136^2*('Device Selection'!$G$6/1000)/B136+A136*6*(('Device Selection'!$G$7+'Device Selection'!$G$8)/1000)*(C136/'Device Selection'!$G$9)*(D136/'Device Selection'!$G$10)*('Device Selection'!$G$11*1000)+A136*'Device Selection'!$B$15</f>
        <v>6325.8559262487452</v>
      </c>
      <c r="F136" s="45">
        <f>'Device Selection'!$B$5/('Device Selection'!$B$5+E136/1000)</f>
        <v>0.97934925895458291</v>
      </c>
      <c r="G136" s="44">
        <f>'Device Selection'!$B$10 + (E136/A136)*'Device Selection'!$G$14 + ((E136/A136-'Device Selection'!$B$15)/(6*B136))*('Device Selection'!$G$12+'Device Selection'!$G$13)</f>
        <v>94.600550824300669</v>
      </c>
      <c r="H136" s="55" t="str">
        <f>IF(AND(C136*(1+'Device Selection'!$B$8)&lt;='Device Selection'!$G$4,D136*(1+'Device Selection'!$B$9)/B136&lt;='Device Selection'!$G$5,G136&lt;='Device Selection'!$B$11),"OK","")</f>
        <v>OK</v>
      </c>
    </row>
    <row r="137" spans="1:8">
      <c r="A137" s="43">
        <v>14</v>
      </c>
      <c r="B137" s="43">
        <v>4</v>
      </c>
      <c r="C137" s="44">
        <f>'Device Selection'!$B$4/A137</f>
        <v>85.714285714285708</v>
      </c>
      <c r="D137" s="44">
        <f>'Device Selection'!$B$5*1000/A137/(SQRT(3)*('Device Selection'!$B$7*(C137)/SQRT(2))*'Device Selection'!$B$6)</f>
        <v>214.86752129677006</v>
      </c>
      <c r="E137" s="44">
        <f>A137*3*D137^2*('Device Selection'!$G$6/1000)/B137+A137*6*(('Device Selection'!$G$7+'Device Selection'!$G$8)/1000)*(C137/'Device Selection'!$G$9)*(D137/'Device Selection'!$G$10)*('Device Selection'!$G$11*1000)+A137*'Device Selection'!$B$15</f>
        <v>5517.915021354931</v>
      </c>
      <c r="F137" s="45">
        <f>'Device Selection'!$B$5/('Device Selection'!$B$5+E137/1000)</f>
        <v>0.98193914415470773</v>
      </c>
      <c r="G137" s="44">
        <f>'Device Selection'!$B$10 + (E137/A137)*'Device Selection'!$G$14 + ((E137/A137-'Device Selection'!$B$15)/(6*B137))*('Device Selection'!$G$12+'Device Selection'!$G$13)</f>
        <v>91.020628652780701</v>
      </c>
      <c r="H137" s="55" t="str">
        <f>IF(AND(C137*(1+'Device Selection'!$B$8)&lt;='Device Selection'!$G$4,D137*(1+'Device Selection'!$B$9)/B137&lt;='Device Selection'!$G$5,G137&lt;='Device Selection'!$B$11),"OK","")</f>
        <v>OK</v>
      </c>
    </row>
    <row r="138" spans="1:8">
      <c r="A138" s="43">
        <v>14</v>
      </c>
      <c r="B138" s="43">
        <v>5</v>
      </c>
      <c r="C138" s="44">
        <f>'Device Selection'!$B$4/A138</f>
        <v>85.714285714285708</v>
      </c>
      <c r="D138" s="44">
        <f>'Device Selection'!$B$5*1000/A138/(SQRT(3)*('Device Selection'!$B$7*(C138)/SQRT(2))*'Device Selection'!$B$6)</f>
        <v>214.86752129677006</v>
      </c>
      <c r="E138" s="44">
        <f>A138*3*D138^2*('Device Selection'!$G$6/1000)/B138+A138*6*(('Device Selection'!$G$7+'Device Selection'!$G$8)/1000)*(C138/'Device Selection'!$G$9)*(D138/'Device Selection'!$G$10)*('Device Selection'!$G$11*1000)+A138*'Device Selection'!$B$15</f>
        <v>5033.1504784186436</v>
      </c>
      <c r="F138" s="45">
        <f>'Device Selection'!$B$5/('Device Selection'!$B$5+E138/1000)</f>
        <v>0.98349966070728845</v>
      </c>
      <c r="G138" s="44">
        <f>'Device Selection'!$B$10 + (E138/A138)*'Device Selection'!$G$14 + ((E138/A138-'Device Selection'!$B$15)/(6*B138))*('Device Selection'!$G$12+'Device Selection'!$G$13)</f>
        <v>88.934232752146329</v>
      </c>
      <c r="H138" s="55" t="str">
        <f>IF(AND(C138*(1+'Device Selection'!$B$8)&lt;='Device Selection'!$G$4,D138*(1+'Device Selection'!$B$9)/B138&lt;='Device Selection'!$G$5,G138&lt;='Device Selection'!$B$11),"OK","")</f>
        <v>OK</v>
      </c>
    </row>
    <row r="139" spans="1:8">
      <c r="A139" s="43">
        <v>14</v>
      </c>
      <c r="B139" s="43">
        <v>6</v>
      </c>
      <c r="C139" s="44">
        <f>'Device Selection'!$B$4/A139</f>
        <v>85.714285714285708</v>
      </c>
      <c r="D139" s="44">
        <f>'Device Selection'!$B$5*1000/A139/(SQRT(3)*('Device Selection'!$B$7*(C139)/SQRT(2))*'Device Selection'!$B$6)</f>
        <v>214.86752129677006</v>
      </c>
      <c r="E139" s="44">
        <f>A139*3*D139^2*('Device Selection'!$G$6/1000)/B139+A139*6*(('Device Selection'!$G$7+'Device Selection'!$G$8)/1000)*(C139/'Device Selection'!$G$9)*(D139/'Device Selection'!$G$10)*('Device Selection'!$G$11*1000)+A139*'Device Selection'!$B$15</f>
        <v>4709.9741164611178</v>
      </c>
      <c r="F139" s="45">
        <f>'Device Selection'!$B$5/('Device Selection'!$B$5+E139/1000)</f>
        <v>0.98454276355699155</v>
      </c>
      <c r="G139" s="44">
        <f>'Device Selection'!$B$10 + (E139/A139)*'Device Selection'!$G$14 + ((E139/A139-'Device Selection'!$B$15)/(6*B139))*('Device Selection'!$G$12+'Device Selection'!$G$13)</f>
        <v>87.568951069339093</v>
      </c>
      <c r="H139" s="55" t="str">
        <f>IF(AND(C139*(1+'Device Selection'!$B$8)&lt;='Device Selection'!$G$4,D139*(1+'Device Selection'!$B$9)/B139&lt;='Device Selection'!$G$5,G139&lt;='Device Selection'!$B$11),"OK","")</f>
        <v>OK</v>
      </c>
    </row>
    <row r="140" spans="1:8">
      <c r="A140" s="43">
        <v>14</v>
      </c>
      <c r="B140" s="43">
        <v>7</v>
      </c>
      <c r="C140" s="44">
        <f>'Device Selection'!$B$4/A140</f>
        <v>85.714285714285708</v>
      </c>
      <c r="D140" s="44">
        <f>'Device Selection'!$B$5*1000/A140/(SQRT(3)*('Device Selection'!$B$7*(C140)/SQRT(2))*'Device Selection'!$B$6)</f>
        <v>214.86752129677006</v>
      </c>
      <c r="E140" s="44">
        <f>A140*3*D140^2*('Device Selection'!$G$6/1000)/B140+A140*6*(('Device Selection'!$G$7+'Device Selection'!$G$8)/1000)*(C140/'Device Selection'!$G$9)*(D140/'Device Selection'!$G$10)*('Device Selection'!$G$11*1000)+A140*'Device Selection'!$B$15</f>
        <v>4479.1338579200274</v>
      </c>
      <c r="F140" s="45">
        <f>'Device Selection'!$B$5/('Device Selection'!$B$5+E140/1000)</f>
        <v>0.98528919272343263</v>
      </c>
      <c r="G140" s="44">
        <f>'Device Selection'!$B$10 + (E140/A140)*'Device Selection'!$G$14 + ((E140/A140-'Device Selection'!$B$15)/(6*B140))*('Device Selection'!$G$12+'Device Selection'!$G$13)</f>
        <v>86.606312602492622</v>
      </c>
      <c r="H140" s="55" t="str">
        <f>IF(AND(C140*(1+'Device Selection'!$B$8)&lt;='Device Selection'!$G$4,D140*(1+'Device Selection'!$B$9)/B140&lt;='Device Selection'!$G$5,G140&lt;='Device Selection'!$B$11),"OK","")</f>
        <v>OK</v>
      </c>
    </row>
    <row r="141" spans="1:8">
      <c r="A141" s="43">
        <v>14</v>
      </c>
      <c r="B141" s="43">
        <v>8</v>
      </c>
      <c r="C141" s="44">
        <f>'Device Selection'!$B$4/A141</f>
        <v>85.714285714285708</v>
      </c>
      <c r="D141" s="44">
        <f>'Device Selection'!$B$5*1000/A141/(SQRT(3)*('Device Selection'!$B$7*(C141)/SQRT(2))*'Device Selection'!$B$6)</f>
        <v>214.86752129677006</v>
      </c>
      <c r="E141" s="44">
        <f>A141*3*D141^2*('Device Selection'!$G$6/1000)/B141+A141*6*(('Device Selection'!$G$7+'Device Selection'!$G$8)/1000)*(C141/'Device Selection'!$G$9)*(D141/'Device Selection'!$G$10)*('Device Selection'!$G$11*1000)+A141*'Device Selection'!$B$15</f>
        <v>4306.0036640142107</v>
      </c>
      <c r="F141" s="45">
        <f>'Device Selection'!$B$5/('Device Selection'!$B$5+E141/1000)</f>
        <v>0.98584975776958872</v>
      </c>
      <c r="G141" s="44">
        <f>'Device Selection'!$B$10 + (E141/A141)*'Device Selection'!$G$14 + ((E141/A141-'Device Selection'!$B$15)/(6*B141))*('Device Selection'!$G$12+'Device Selection'!$G$13)</f>
        <v>85.891203998147688</v>
      </c>
      <c r="H141" s="55" t="str">
        <f>IF(AND(C141*(1+'Device Selection'!$B$8)&lt;='Device Selection'!$G$4,D141*(1+'Device Selection'!$B$9)/B141&lt;='Device Selection'!$G$5,G141&lt;='Device Selection'!$B$11),"OK","")</f>
        <v>OK</v>
      </c>
    </row>
    <row r="142" spans="1:8">
      <c r="A142" s="43">
        <v>14</v>
      </c>
      <c r="B142" s="43">
        <v>9</v>
      </c>
      <c r="C142" s="44">
        <f>'Device Selection'!$B$4/A142</f>
        <v>85.714285714285708</v>
      </c>
      <c r="D142" s="44">
        <f>'Device Selection'!$B$5*1000/A142/(SQRT(3)*('Device Selection'!$B$7*(C142)/SQRT(2))*'Device Selection'!$B$6)</f>
        <v>214.86752129677006</v>
      </c>
      <c r="E142" s="44">
        <f>A142*3*D142^2*('Device Selection'!$G$6/1000)/B142+A142*6*(('Device Selection'!$G$7+'Device Selection'!$G$8)/1000)*(C142/'Device Selection'!$G$9)*(D142/'Device Selection'!$G$10)*('Device Selection'!$G$11*1000)+A142*'Device Selection'!$B$15</f>
        <v>4171.3468465319083</v>
      </c>
      <c r="F142" s="45">
        <f>'Device Selection'!$B$5/('Device Selection'!$B$5+E142/1000)</f>
        <v>0.98628619398316786</v>
      </c>
      <c r="G142" s="44">
        <f>'Device Selection'!$B$10 + (E142/A142)*'Device Selection'!$G$14 + ((E142/A142-'Device Selection'!$B$15)/(6*B142))*('Device Selection'!$G$12+'Device Selection'!$G$13)</f>
        <v>85.33907967375491</v>
      </c>
      <c r="H142" s="55" t="str">
        <f>IF(AND(C142*(1+'Device Selection'!$B$8)&lt;='Device Selection'!$G$4,D142*(1+'Device Selection'!$B$9)/B142&lt;='Device Selection'!$G$5,G142&lt;='Device Selection'!$B$11),"OK","")</f>
        <v>OK</v>
      </c>
    </row>
    <row r="143" spans="1:8">
      <c r="A143" s="43">
        <v>14</v>
      </c>
      <c r="B143" s="43">
        <v>10</v>
      </c>
      <c r="C143" s="44">
        <f>'Device Selection'!$B$4/A143</f>
        <v>85.714285714285708</v>
      </c>
      <c r="D143" s="44">
        <f>'Device Selection'!$B$5*1000/A143/(SQRT(3)*('Device Selection'!$B$7*(C143)/SQRT(2))*'Device Selection'!$B$6)</f>
        <v>214.86752129677006</v>
      </c>
      <c r="E143" s="44">
        <f>A143*3*D143^2*('Device Selection'!$G$6/1000)/B143+A143*6*(('Device Selection'!$G$7+'Device Selection'!$G$8)/1000)*(C143/'Device Selection'!$G$9)*(D143/'Device Selection'!$G$10)*('Device Selection'!$G$11*1000)+A143*'Device Selection'!$B$15</f>
        <v>4063.6213925460661</v>
      </c>
      <c r="F143" s="45">
        <f>'Device Selection'!$B$5/('Device Selection'!$B$5+E143/1000)</f>
        <v>0.98663562127578586</v>
      </c>
      <c r="G143" s="44">
        <f>'Device Selection'!$B$10 + (E143/A143)*'Device Selection'!$G$14 + ((E143/A143-'Device Selection'!$B$15)/(6*B143))*('Device Selection'!$G$12+'Device Selection'!$G$13)</f>
        <v>84.899945106002249</v>
      </c>
      <c r="H143" s="55" t="str">
        <f>IF(AND(C143*(1+'Device Selection'!$B$8)&lt;='Device Selection'!$G$4,D143*(1+'Device Selection'!$B$9)/B143&lt;='Device Selection'!$G$5,G143&lt;='Device Selection'!$B$11),"OK","")</f>
        <v>OK</v>
      </c>
    </row>
    <row r="144" spans="1:8">
      <c r="A144" s="43">
        <v>15</v>
      </c>
      <c r="B144" s="43">
        <v>1</v>
      </c>
      <c r="C144" s="44">
        <f>'Device Selection'!$B$4/A144</f>
        <v>80</v>
      </c>
      <c r="D144" s="44">
        <f>'Device Selection'!$B$5*1000/A144/(SQRT(3)*('Device Selection'!$B$7*(C144)/SQRT(2))*'Device Selection'!$B$6)</f>
        <v>214.86752129677004</v>
      </c>
      <c r="E144" s="44">
        <f>A144*3*D144^2*('Device Selection'!$G$6/1000)/B144+A144*6*(('Device Selection'!$G$7+'Device Selection'!$G$8)/1000)*(C144/'Device Selection'!$G$9)*(D144/'Device Selection'!$G$10)*('Device Selection'!$G$11*1000)+A144*'Device Selection'!$B$15</f>
        <v>13481.903941022523</v>
      </c>
      <c r="F144" s="45">
        <f>'Device Selection'!$B$5/('Device Selection'!$B$5+E144/1000)</f>
        <v>0.95699303924235768</v>
      </c>
      <c r="G144" s="44">
        <f>'Device Selection'!$B$10 + (E144/A144)*'Device Selection'!$G$14 + ((E144/A144-'Device Selection'!$B$15)/(6*B144))*('Device Selection'!$G$12+'Device Selection'!$G$13)</f>
        <v>126.92359441765065</v>
      </c>
      <c r="H144" s="55" t="str">
        <f>IF(AND(C144*(1+'Device Selection'!$B$8)&lt;='Device Selection'!$G$4,D144*(1+'Device Selection'!$B$9)/B144&lt;='Device Selection'!$G$5,G144&lt;='Device Selection'!$B$11),"OK","")</f>
        <v/>
      </c>
    </row>
    <row r="145" spans="1:8">
      <c r="A145" s="43">
        <v>15</v>
      </c>
      <c r="B145" s="43">
        <v>2</v>
      </c>
      <c r="C145" s="44">
        <f>'Device Selection'!$B$4/A145</f>
        <v>80</v>
      </c>
      <c r="D145" s="44">
        <f>'Device Selection'!$B$5*1000/A145/(SQRT(3)*('Device Selection'!$B$7*(C145)/SQRT(2))*'Device Selection'!$B$6)</f>
        <v>214.86752129677004</v>
      </c>
      <c r="E145" s="44">
        <f>A145*3*D145^2*('Device Selection'!$G$6/1000)/B145+A145*6*(('Device Selection'!$G$7+'Device Selection'!$G$8)/1000)*(C145/'Device Selection'!$G$9)*(D145/'Device Selection'!$G$10)*('Device Selection'!$G$11*1000)+A145*'Device Selection'!$B$15</f>
        <v>8287.9981238480068</v>
      </c>
      <c r="F145" s="45">
        <f>'Device Selection'!$B$5/('Device Selection'!$B$5+E145/1000)</f>
        <v>0.97311605325446859</v>
      </c>
      <c r="G145" s="44">
        <f>'Device Selection'!$B$10 + (E145/A145)*'Device Selection'!$G$14 + ((E145/A145-'Device Selection'!$B$15)/(6*B145))*('Device Selection'!$G$12+'Device Selection'!$G$13)</f>
        <v>101.31021513453692</v>
      </c>
      <c r="H145" s="55" t="str">
        <f>IF(AND(C145*(1+'Device Selection'!$B$8)&lt;='Device Selection'!$G$4,D145*(1+'Device Selection'!$B$9)/B145&lt;='Device Selection'!$G$5,G145&lt;='Device Selection'!$B$11),"OK","")</f>
        <v/>
      </c>
    </row>
    <row r="146" spans="1:8">
      <c r="A146" s="43">
        <v>15</v>
      </c>
      <c r="B146" s="43">
        <v>3</v>
      </c>
      <c r="C146" s="44">
        <f>'Device Selection'!$B$4/A146</f>
        <v>80</v>
      </c>
      <c r="D146" s="44">
        <f>'Device Selection'!$B$5*1000/A146/(SQRT(3)*('Device Selection'!$B$7*(C146)/SQRT(2))*'Device Selection'!$B$6)</f>
        <v>214.86752129677004</v>
      </c>
      <c r="E146" s="44">
        <f>A146*3*D146^2*('Device Selection'!$G$6/1000)/B146+A146*6*(('Device Selection'!$G$7+'Device Selection'!$G$8)/1000)*(C146/'Device Selection'!$G$9)*(D146/'Device Selection'!$G$10)*('Device Selection'!$G$11*1000)+A146*'Device Selection'!$B$15</f>
        <v>6556.6961847898338</v>
      </c>
      <c r="F146" s="45">
        <f>'Device Selection'!$B$5/('Device Selection'!$B$5+E146/1000)</f>
        <v>0.97861179916671115</v>
      </c>
      <c r="G146" s="44">
        <f>'Device Selection'!$B$10 + (E146/A146)*'Device Selection'!$G$14 + ((E146/A146-'Device Selection'!$B$15)/(6*B146))*('Device Selection'!$G$12+'Device Selection'!$G$13)</f>
        <v>93.798378744792743</v>
      </c>
      <c r="H146" s="55" t="str">
        <f>IF(AND(C146*(1+'Device Selection'!$B$8)&lt;='Device Selection'!$G$4,D146*(1+'Device Selection'!$B$9)/B146&lt;='Device Selection'!$G$5,G146&lt;='Device Selection'!$B$11),"OK","")</f>
        <v>OK</v>
      </c>
    </row>
    <row r="147" spans="1:8">
      <c r="A147" s="43">
        <v>15</v>
      </c>
      <c r="B147" s="43">
        <v>4</v>
      </c>
      <c r="C147" s="44">
        <f>'Device Selection'!$B$4/A147</f>
        <v>80</v>
      </c>
      <c r="D147" s="44">
        <f>'Device Selection'!$B$5*1000/A147/(SQRT(3)*('Device Selection'!$B$7*(C147)/SQRT(2))*'Device Selection'!$B$6)</f>
        <v>214.86752129677004</v>
      </c>
      <c r="E147" s="44">
        <f>A147*3*D147^2*('Device Selection'!$G$6/1000)/B147+A147*6*(('Device Selection'!$G$7+'Device Selection'!$G$8)/1000)*(C147/'Device Selection'!$G$9)*(D147/'Device Selection'!$G$10)*('Device Selection'!$G$11*1000)+A147*'Device Selection'!$B$15</f>
        <v>5691.0452152607477</v>
      </c>
      <c r="F147" s="45">
        <f>'Device Selection'!$B$5/('Device Selection'!$B$5+E147/1000)</f>
        <v>0.98138301626973312</v>
      </c>
      <c r="G147" s="44">
        <f>'Device Selection'!$B$10 + (E147/A147)*'Device Selection'!$G$14 + ((E147/A147-'Device Selection'!$B$15)/(6*B147))*('Device Selection'!$G$12+'Device Selection'!$G$13)</f>
        <v>90.234827432038216</v>
      </c>
      <c r="H147" s="55" t="str">
        <f>IF(AND(C147*(1+'Device Selection'!$B$8)&lt;='Device Selection'!$G$4,D147*(1+'Device Selection'!$B$9)/B147&lt;='Device Selection'!$G$5,G147&lt;='Device Selection'!$B$11),"OK","")</f>
        <v>OK</v>
      </c>
    </row>
    <row r="148" spans="1:8">
      <c r="A148" s="43">
        <v>15</v>
      </c>
      <c r="B148" s="43">
        <v>5</v>
      </c>
      <c r="C148" s="44">
        <f>'Device Selection'!$B$4/A148</f>
        <v>80</v>
      </c>
      <c r="D148" s="44">
        <f>'Device Selection'!$B$5*1000/A148/(SQRT(3)*('Device Selection'!$B$7*(C148)/SQRT(2))*'Device Selection'!$B$6)</f>
        <v>214.86752129677004</v>
      </c>
      <c r="E148" s="44">
        <f>A148*3*D148^2*('Device Selection'!$G$6/1000)/B148+A148*6*(('Device Selection'!$G$7+'Device Selection'!$G$8)/1000)*(C148/'Device Selection'!$G$9)*(D148/'Device Selection'!$G$10)*('Device Selection'!$G$11*1000)+A148*'Device Selection'!$B$15</f>
        <v>5171.6546335432959</v>
      </c>
      <c r="F148" s="45">
        <f>'Device Selection'!$B$5/('Device Selection'!$B$5+E148/1000)</f>
        <v>0.98305329294179189</v>
      </c>
      <c r="G148" s="44">
        <f>'Device Selection'!$B$10 + (E148/A148)*'Device Selection'!$G$14 + ((E148/A148-'Device Selection'!$B$15)/(6*B148))*('Device Selection'!$G$12+'Device Selection'!$G$13)</f>
        <v>88.158254046663131</v>
      </c>
      <c r="H148" s="55" t="str">
        <f>IF(AND(C148*(1+'Device Selection'!$B$8)&lt;='Device Selection'!$G$4,D148*(1+'Device Selection'!$B$9)/B148&lt;='Device Selection'!$G$5,G148&lt;='Device Selection'!$B$11),"OK","")</f>
        <v>OK</v>
      </c>
    </row>
    <row r="149" spans="1:8">
      <c r="A149" s="43">
        <v>15</v>
      </c>
      <c r="B149" s="43">
        <v>6</v>
      </c>
      <c r="C149" s="44">
        <f>'Device Selection'!$B$4/A149</f>
        <v>80</v>
      </c>
      <c r="D149" s="44">
        <f>'Device Selection'!$B$5*1000/A149/(SQRT(3)*('Device Selection'!$B$7*(C149)/SQRT(2))*'Device Selection'!$B$6)</f>
        <v>214.86752129677004</v>
      </c>
      <c r="E149" s="44">
        <f>A149*3*D149^2*('Device Selection'!$G$6/1000)/B149+A149*6*(('Device Selection'!$G$7+'Device Selection'!$G$8)/1000)*(C149/'Device Selection'!$G$9)*(D149/'Device Selection'!$G$10)*('Device Selection'!$G$11*1000)+A149*'Device Selection'!$B$15</f>
        <v>4825.3942457316616</v>
      </c>
      <c r="F149" s="45">
        <f>'Device Selection'!$B$5/('Device Selection'!$B$5+E149/1000)</f>
        <v>0.9841699729195077</v>
      </c>
      <c r="G149" s="44">
        <f>'Device Selection'!$B$10 + (E149/A149)*'Device Selection'!$G$14 + ((E149/A149-'Device Selection'!$B$15)/(6*B149))*('Device Selection'!$G$12+'Device Selection'!$G$13)</f>
        <v>86.799520707362078</v>
      </c>
      <c r="H149" s="55" t="str">
        <f>IF(AND(C149*(1+'Device Selection'!$B$8)&lt;='Device Selection'!$G$4,D149*(1+'Device Selection'!$B$9)/B149&lt;='Device Selection'!$G$5,G149&lt;='Device Selection'!$B$11),"OK","")</f>
        <v>OK</v>
      </c>
    </row>
    <row r="150" spans="1:8">
      <c r="A150" s="43">
        <v>15</v>
      </c>
      <c r="B150" s="43">
        <v>7</v>
      </c>
      <c r="C150" s="44">
        <f>'Device Selection'!$B$4/A150</f>
        <v>80</v>
      </c>
      <c r="D150" s="44">
        <f>'Device Selection'!$B$5*1000/A150/(SQRT(3)*('Device Selection'!$B$7*(C150)/SQRT(2))*'Device Selection'!$B$6)</f>
        <v>214.86752129677004</v>
      </c>
      <c r="E150" s="44">
        <f>A150*3*D150^2*('Device Selection'!$G$6/1000)/B150+A150*6*(('Device Selection'!$G$7+'Device Selection'!$G$8)/1000)*(C150/'Device Selection'!$G$9)*(D150/'Device Selection'!$G$10)*('Device Selection'!$G$11*1000)+A150*'Device Selection'!$B$15</f>
        <v>4578.0653972947794</v>
      </c>
      <c r="F150" s="45">
        <f>'Device Selection'!$B$5/('Device Selection'!$B$5+E150/1000)</f>
        <v>0.98496915596557122</v>
      </c>
      <c r="G150" s="44">
        <f>'Device Selection'!$B$10 + (E150/A150)*'Device Selection'!$G$14 + ((E150/A150-'Device Selection'!$B$15)/(6*B150))*('Device Selection'!$G$12+'Device Selection'!$G$13)</f>
        <v>85.841559628734316</v>
      </c>
      <c r="H150" s="55" t="str">
        <f>IF(AND(C150*(1+'Device Selection'!$B$8)&lt;='Device Selection'!$G$4,D150*(1+'Device Selection'!$B$9)/B150&lt;='Device Selection'!$G$5,G150&lt;='Device Selection'!$B$11),"OK","")</f>
        <v>OK</v>
      </c>
    </row>
    <row r="151" spans="1:8">
      <c r="A151" s="43">
        <v>15</v>
      </c>
      <c r="B151" s="43">
        <v>8</v>
      </c>
      <c r="C151" s="44">
        <f>'Device Selection'!$B$4/A151</f>
        <v>80</v>
      </c>
      <c r="D151" s="44">
        <f>'Device Selection'!$B$5*1000/A151/(SQRT(3)*('Device Selection'!$B$7*(C151)/SQRT(2))*'Device Selection'!$B$6)</f>
        <v>214.86752129677004</v>
      </c>
      <c r="E151" s="44">
        <f>A151*3*D151^2*('Device Selection'!$G$6/1000)/B151+A151*6*(('Device Selection'!$G$7+'Device Selection'!$G$8)/1000)*(C151/'Device Selection'!$G$9)*(D151/'Device Selection'!$G$10)*('Device Selection'!$G$11*1000)+A151*'Device Selection'!$B$15</f>
        <v>4392.5687609671186</v>
      </c>
      <c r="F151" s="45">
        <f>'Device Selection'!$B$5/('Device Selection'!$B$5+E151/1000)</f>
        <v>0.98556939553798217</v>
      </c>
      <c r="G151" s="44">
        <f>'Device Selection'!$B$10 + (E151/A151)*'Device Selection'!$G$14 + ((E151/A151-'Device Selection'!$B$15)/(6*B151))*('Device Selection'!$G$12+'Device Selection'!$G$13)</f>
        <v>85.129959065553408</v>
      </c>
      <c r="H151" s="55" t="str">
        <f>IF(AND(C151*(1+'Device Selection'!$B$8)&lt;='Device Selection'!$G$4,D151*(1+'Device Selection'!$B$9)/B151&lt;='Device Selection'!$G$5,G151&lt;='Device Selection'!$B$11),"OK","")</f>
        <v>OK</v>
      </c>
    </row>
    <row r="152" spans="1:8">
      <c r="A152" s="43">
        <v>15</v>
      </c>
      <c r="B152" s="43">
        <v>9</v>
      </c>
      <c r="C152" s="44">
        <f>'Device Selection'!$B$4/A152</f>
        <v>80</v>
      </c>
      <c r="D152" s="44">
        <f>'Device Selection'!$B$5*1000/A152/(SQRT(3)*('Device Selection'!$B$7*(C152)/SQRT(2))*'Device Selection'!$B$6)</f>
        <v>214.86752129677004</v>
      </c>
      <c r="E152" s="44">
        <f>A152*3*D152^2*('Device Selection'!$G$6/1000)/B152+A152*6*(('Device Selection'!$G$7+'Device Selection'!$G$8)/1000)*(C152/'Device Selection'!$G$9)*(D152/'Device Selection'!$G$10)*('Device Selection'!$G$11*1000)+A152*'Device Selection'!$B$15</f>
        <v>4248.2935993789379</v>
      </c>
      <c r="F152" s="45">
        <f>'Device Selection'!$B$5/('Device Selection'!$B$5+E152/1000)</f>
        <v>0.98603675455622142</v>
      </c>
      <c r="G152" s="44">
        <f>'Device Selection'!$B$10 + (E152/A152)*'Device Selection'!$G$14 + ((E152/A152-'Device Selection'!$B$15)/(6*B152))*('Device Selection'!$G$12+'Device Selection'!$G$13)</f>
        <v>84.580563217621531</v>
      </c>
      <c r="H152" s="55" t="str">
        <f>IF(AND(C152*(1+'Device Selection'!$B$8)&lt;='Device Selection'!$G$4,D152*(1+'Device Selection'!$B$9)/B152&lt;='Device Selection'!$G$5,G152&lt;='Device Selection'!$B$11),"OK","")</f>
        <v>OK</v>
      </c>
    </row>
    <row r="153" spans="1:8">
      <c r="A153" s="43">
        <v>15</v>
      </c>
      <c r="B153" s="43">
        <v>10</v>
      </c>
      <c r="C153" s="44">
        <f>'Device Selection'!$B$4/A153</f>
        <v>80</v>
      </c>
      <c r="D153" s="44">
        <f>'Device Selection'!$B$5*1000/A153/(SQRT(3)*('Device Selection'!$B$7*(C153)/SQRT(2))*'Device Selection'!$B$6)</f>
        <v>214.86752129677004</v>
      </c>
      <c r="E153" s="44">
        <f>A153*3*D153^2*('Device Selection'!$G$6/1000)/B153+A153*6*(('Device Selection'!$G$7+'Device Selection'!$G$8)/1000)*(C153/'Device Selection'!$G$9)*(D153/'Device Selection'!$G$10)*('Device Selection'!$G$11*1000)+A153*'Device Selection'!$B$15</f>
        <v>4132.8734701083922</v>
      </c>
      <c r="F153" s="45">
        <f>'Device Selection'!$B$5/('Device Selection'!$B$5+E153/1000)</f>
        <v>0.98641096102847103</v>
      </c>
      <c r="G153" s="44">
        <f>'Device Selection'!$B$10 + (E153/A153)*'Device Selection'!$G$14 + ((E153/A153-'Device Selection'!$B$15)/(6*B153))*('Device Selection'!$G$12+'Device Selection'!$G$13)</f>
        <v>84.143611431037613</v>
      </c>
      <c r="H153" s="55" t="str">
        <f>IF(AND(C153*(1+'Device Selection'!$B$8)&lt;='Device Selection'!$G$4,D153*(1+'Device Selection'!$B$9)/B153&lt;='Device Selection'!$G$5,G153&lt;='Device Selection'!$B$11),"OK","")</f>
        <v>OK</v>
      </c>
    </row>
    <row r="154" spans="1:8">
      <c r="A154" s="43">
        <v>16</v>
      </c>
      <c r="B154" s="43">
        <v>1</v>
      </c>
      <c r="C154" s="44">
        <f>'Device Selection'!$B$4/A154</f>
        <v>75</v>
      </c>
      <c r="D154" s="44">
        <f>'Device Selection'!$B$5*1000/A154/(SQRT(3)*('Device Selection'!$B$7*(C154)/SQRT(2))*'Device Selection'!$B$6)</f>
        <v>214.86752129677006</v>
      </c>
      <c r="E154" s="44">
        <f>A154*3*D154^2*('Device Selection'!$G$6/1000)/B154+A154*6*(('Device Selection'!$G$7+'Device Selection'!$G$8)/1000)*(C154/'Device Selection'!$G$9)*(D154/'Device Selection'!$G$10)*('Device Selection'!$G$11*1000)+A154*'Device Selection'!$B$15</f>
        <v>14174.424716645794</v>
      </c>
      <c r="F154" s="45">
        <f>'Device Selection'!$B$5/('Device Selection'!$B$5+E154/1000)</f>
        <v>0.95488358185288413</v>
      </c>
      <c r="G154" s="44">
        <f>'Device Selection'!$B$10 + (E154/A154)*'Device Selection'!$G$14 + ((E154/A154-'Device Selection'!$B$15)/(6*B154))*('Device Selection'!$G$12+'Device Selection'!$G$13)</f>
        <v>126.10709783672294</v>
      </c>
      <c r="H154" s="55" t="str">
        <f>IF(AND(C154*(1+'Device Selection'!$B$8)&lt;='Device Selection'!$G$4,D154*(1+'Device Selection'!$B$9)/B154&lt;='Device Selection'!$G$5,G154&lt;='Device Selection'!$B$11),"OK","")</f>
        <v/>
      </c>
    </row>
    <row r="155" spans="1:8">
      <c r="A155" s="43">
        <v>16</v>
      </c>
      <c r="B155" s="43">
        <v>2</v>
      </c>
      <c r="C155" s="44">
        <f>'Device Selection'!$B$4/A155</f>
        <v>75</v>
      </c>
      <c r="D155" s="44">
        <f>'Device Selection'!$B$5*1000/A155/(SQRT(3)*('Device Selection'!$B$7*(C155)/SQRT(2))*'Device Selection'!$B$6)</f>
        <v>214.86752129677006</v>
      </c>
      <c r="E155" s="44">
        <f>A155*3*D155^2*('Device Selection'!$G$6/1000)/B155+A155*6*(('Device Selection'!$G$7+'Device Selection'!$G$8)/1000)*(C155/'Device Selection'!$G$9)*(D155/'Device Selection'!$G$10)*('Device Selection'!$G$11*1000)+A155*'Device Selection'!$B$15</f>
        <v>8634.258511659642</v>
      </c>
      <c r="F155" s="45">
        <f>'Device Selection'!$B$5/('Device Selection'!$B$5+E155/1000)</f>
        <v>0.97202430296203346</v>
      </c>
      <c r="G155" s="44">
        <f>'Device Selection'!$B$10 + (E155/A155)*'Device Selection'!$G$14 + ((E155/A155-'Device Selection'!$B$15)/(6*B155))*('Device Selection'!$G$12+'Device Selection'!$G$13)</f>
        <v>100.5796655621279</v>
      </c>
      <c r="H155" s="55" t="str">
        <f>IF(AND(C155*(1+'Device Selection'!$B$8)&lt;='Device Selection'!$G$4,D155*(1+'Device Selection'!$B$9)/B155&lt;='Device Selection'!$G$5,G155&lt;='Device Selection'!$B$11),"OK","")</f>
        <v/>
      </c>
    </row>
    <row r="156" spans="1:8">
      <c r="A156" s="43">
        <v>16</v>
      </c>
      <c r="B156" s="43">
        <v>3</v>
      </c>
      <c r="C156" s="44">
        <f>'Device Selection'!$B$4/A156</f>
        <v>75</v>
      </c>
      <c r="D156" s="44">
        <f>'Device Selection'!$B$5*1000/A156/(SQRT(3)*('Device Selection'!$B$7*(C156)/SQRT(2))*'Device Selection'!$B$6)</f>
        <v>214.86752129677006</v>
      </c>
      <c r="E156" s="44">
        <f>A156*3*D156^2*('Device Selection'!$G$6/1000)/B156+A156*6*(('Device Selection'!$G$7+'Device Selection'!$G$8)/1000)*(C156/'Device Selection'!$G$9)*(D156/'Device Selection'!$G$10)*('Device Selection'!$G$11*1000)+A156*'Device Selection'!$B$15</f>
        <v>6787.5364433309242</v>
      </c>
      <c r="F156" s="45">
        <f>'Device Selection'!$B$5/('Device Selection'!$B$5+E156/1000)</f>
        <v>0.97787544917234703</v>
      </c>
      <c r="G156" s="44">
        <f>'Device Selection'!$B$10 + (E156/A156)*'Device Selection'!$G$14 + ((E156/A156-'Device Selection'!$B$15)/(6*B156))*('Device Selection'!$G$12+'Device Selection'!$G$13)</f>
        <v>93.096478175223282</v>
      </c>
      <c r="H156" s="55" t="str">
        <f>IF(AND(C156*(1+'Device Selection'!$B$8)&lt;='Device Selection'!$G$4,D156*(1+'Device Selection'!$B$9)/B156&lt;='Device Selection'!$G$5,G156&lt;='Device Selection'!$B$11),"OK","")</f>
        <v>OK</v>
      </c>
    </row>
    <row r="157" spans="1:8">
      <c r="A157" s="43">
        <v>16</v>
      </c>
      <c r="B157" s="43">
        <v>4</v>
      </c>
      <c r="C157" s="44">
        <f>'Device Selection'!$B$4/A157</f>
        <v>75</v>
      </c>
      <c r="D157" s="44">
        <f>'Device Selection'!$B$5*1000/A157/(SQRT(3)*('Device Selection'!$B$7*(C157)/SQRT(2))*'Device Selection'!$B$6)</f>
        <v>214.86752129677006</v>
      </c>
      <c r="E157" s="44">
        <f>A157*3*D157^2*('Device Selection'!$G$6/1000)/B157+A157*6*(('Device Selection'!$G$7+'Device Selection'!$G$8)/1000)*(C157/'Device Selection'!$G$9)*(D157/'Device Selection'!$G$10)*('Device Selection'!$G$11*1000)+A157*'Device Selection'!$B$15</f>
        <v>5864.1754091665662</v>
      </c>
      <c r="F157" s="45">
        <f>'Device Selection'!$B$5/('Device Selection'!$B$5+E157/1000)</f>
        <v>0.98082751796178202</v>
      </c>
      <c r="G157" s="44">
        <f>'Device Selection'!$B$10 + (E157/A157)*'Device Selection'!$G$14 + ((E157/A157-'Device Selection'!$B$15)/(6*B157))*('Device Selection'!$G$12+'Device Selection'!$G$13)</f>
        <v>89.547251363888549</v>
      </c>
      <c r="H157" s="55" t="str">
        <f>IF(AND(C157*(1+'Device Selection'!$B$8)&lt;='Device Selection'!$G$4,D157*(1+'Device Selection'!$B$9)/B157&lt;='Device Selection'!$G$5,G157&lt;='Device Selection'!$B$11),"OK","")</f>
        <v>OK</v>
      </c>
    </row>
    <row r="158" spans="1:8">
      <c r="A158" s="43">
        <v>16</v>
      </c>
      <c r="B158" s="43">
        <v>5</v>
      </c>
      <c r="C158" s="44">
        <f>'Device Selection'!$B$4/A158</f>
        <v>75</v>
      </c>
      <c r="D158" s="44">
        <f>'Device Selection'!$B$5*1000/A158/(SQRT(3)*('Device Selection'!$B$7*(C158)/SQRT(2))*'Device Selection'!$B$6)</f>
        <v>214.86752129677006</v>
      </c>
      <c r="E158" s="44">
        <f>A158*3*D158^2*('Device Selection'!$G$6/1000)/B158+A158*6*(('Device Selection'!$G$7+'Device Selection'!$G$8)/1000)*(C158/'Device Selection'!$G$9)*(D158/'Device Selection'!$G$10)*('Device Selection'!$G$11*1000)+A158*'Device Selection'!$B$15</f>
        <v>5310.1587886679499</v>
      </c>
      <c r="F158" s="45">
        <f>'Device Selection'!$B$5/('Device Selection'!$B$5+E158/1000)</f>
        <v>0.98260733016635859</v>
      </c>
      <c r="G158" s="44">
        <f>'Device Selection'!$B$10 + (E158/A158)*'Device Selection'!$G$14 + ((E158/A158-'Device Selection'!$B$15)/(6*B158))*('Device Selection'!$G$12+'Device Selection'!$G$13)</f>
        <v>87.479272679365337</v>
      </c>
      <c r="H158" s="55" t="str">
        <f>IF(AND(C158*(1+'Device Selection'!$B$8)&lt;='Device Selection'!$G$4,D158*(1+'Device Selection'!$B$9)/B158&lt;='Device Selection'!$G$5,G158&lt;='Device Selection'!$B$11),"OK","")</f>
        <v>OK</v>
      </c>
    </row>
    <row r="159" spans="1:8">
      <c r="A159" s="43">
        <v>16</v>
      </c>
      <c r="B159" s="43">
        <v>6</v>
      </c>
      <c r="C159" s="44">
        <f>'Device Selection'!$B$4/A159</f>
        <v>75</v>
      </c>
      <c r="D159" s="44">
        <f>'Device Selection'!$B$5*1000/A159/(SQRT(3)*('Device Selection'!$B$7*(C159)/SQRT(2))*'Device Selection'!$B$6)</f>
        <v>214.86752129677006</v>
      </c>
      <c r="E159" s="44">
        <f>A159*3*D159^2*('Device Selection'!$G$6/1000)/B159+A159*6*(('Device Selection'!$G$7+'Device Selection'!$G$8)/1000)*(C159/'Device Selection'!$G$9)*(D159/'Device Selection'!$G$10)*('Device Selection'!$G$11*1000)+A159*'Device Selection'!$B$15</f>
        <v>4940.8143750022073</v>
      </c>
      <c r="F159" s="45">
        <f>'Device Selection'!$B$5/('Device Selection'!$B$5+E159/1000)</f>
        <v>0.98379746448461236</v>
      </c>
      <c r="G159" s="44">
        <f>'Device Selection'!$B$10 + (E159/A159)*'Device Selection'!$G$14 + ((E159/A159-'Device Selection'!$B$15)/(6*B159))*('Device Selection'!$G$12+'Device Selection'!$G$13)</f>
        <v>86.126269140632218</v>
      </c>
      <c r="H159" s="55" t="str">
        <f>IF(AND(C159*(1+'Device Selection'!$B$8)&lt;='Device Selection'!$G$4,D159*(1+'Device Selection'!$B$9)/B159&lt;='Device Selection'!$G$5,G159&lt;='Device Selection'!$B$11),"OK","")</f>
        <v>OK</v>
      </c>
    </row>
    <row r="160" spans="1:8">
      <c r="A160" s="43">
        <v>16</v>
      </c>
      <c r="B160" s="43">
        <v>7</v>
      </c>
      <c r="C160" s="44">
        <f>'Device Selection'!$B$4/A160</f>
        <v>75</v>
      </c>
      <c r="D160" s="44">
        <f>'Device Selection'!$B$5*1000/A160/(SQRT(3)*('Device Selection'!$B$7*(C160)/SQRT(2))*'Device Selection'!$B$6)</f>
        <v>214.86752129677006</v>
      </c>
      <c r="E160" s="44">
        <f>A160*3*D160^2*('Device Selection'!$G$6/1000)/B160+A160*6*(('Device Selection'!$G$7+'Device Selection'!$G$8)/1000)*(C160/'Device Selection'!$G$9)*(D160/'Device Selection'!$G$10)*('Device Selection'!$G$11*1000)+A160*'Device Selection'!$B$15</f>
        <v>4676.9969366695332</v>
      </c>
      <c r="F160" s="45">
        <f>'Device Selection'!$B$5/('Device Selection'!$B$5+E160/1000)</f>
        <v>0.98464932704571162</v>
      </c>
      <c r="G160" s="44">
        <f>'Device Selection'!$B$10 + (E160/A160)*'Device Selection'!$G$14 + ((E160/A160-'Device Selection'!$B$15)/(6*B160))*('Device Selection'!$G$12+'Device Selection'!$G$13)</f>
        <v>85.17240077669581</v>
      </c>
      <c r="H160" s="55" t="str">
        <f>IF(AND(C160*(1+'Device Selection'!$B$8)&lt;='Device Selection'!$G$4,D160*(1+'Device Selection'!$B$9)/B160&lt;='Device Selection'!$G$5,G160&lt;='Device Selection'!$B$11),"OK","")</f>
        <v>OK</v>
      </c>
    </row>
    <row r="161" spans="1:8">
      <c r="A161" s="43">
        <v>16</v>
      </c>
      <c r="B161" s="43">
        <v>8</v>
      </c>
      <c r="C161" s="44">
        <f>'Device Selection'!$B$4/A161</f>
        <v>75</v>
      </c>
      <c r="D161" s="44">
        <f>'Device Selection'!$B$5*1000/A161/(SQRT(3)*('Device Selection'!$B$7*(C161)/SQRT(2))*'Device Selection'!$B$6)</f>
        <v>214.86752129677006</v>
      </c>
      <c r="E161" s="44">
        <f>A161*3*D161^2*('Device Selection'!$G$6/1000)/B161+A161*6*(('Device Selection'!$G$7+'Device Selection'!$G$8)/1000)*(C161/'Device Selection'!$G$9)*(D161/'Device Selection'!$G$10)*('Device Selection'!$G$11*1000)+A161*'Device Selection'!$B$15</f>
        <v>4479.1338579200274</v>
      </c>
      <c r="F161" s="45">
        <f>'Device Selection'!$B$5/('Device Selection'!$B$5+E161/1000)</f>
        <v>0.98528919272343263</v>
      </c>
      <c r="G161" s="44">
        <f>'Device Selection'!$B$10 + (E161/A161)*'Device Selection'!$G$14 + ((E161/A161-'Device Selection'!$B$15)/(6*B161))*('Device Selection'!$G$12+'Device Selection'!$G$13)</f>
        <v>84.46386974953343</v>
      </c>
      <c r="H161" s="55" t="str">
        <f>IF(AND(C161*(1+'Device Selection'!$B$8)&lt;='Device Selection'!$G$4,D161*(1+'Device Selection'!$B$9)/B161&lt;='Device Selection'!$G$5,G161&lt;='Device Selection'!$B$11),"OK","")</f>
        <v>OK</v>
      </c>
    </row>
    <row r="162" spans="1:8">
      <c r="A162" s="43">
        <v>16</v>
      </c>
      <c r="B162" s="43">
        <v>9</v>
      </c>
      <c r="C162" s="44">
        <f>'Device Selection'!$B$4/A162</f>
        <v>75</v>
      </c>
      <c r="D162" s="44">
        <f>'Device Selection'!$B$5*1000/A162/(SQRT(3)*('Device Selection'!$B$7*(C162)/SQRT(2))*'Device Selection'!$B$6)</f>
        <v>214.86752129677006</v>
      </c>
      <c r="E162" s="44">
        <f>A162*3*D162^2*('Device Selection'!$G$6/1000)/B162+A162*6*(('Device Selection'!$G$7+'Device Selection'!$G$8)/1000)*(C162/'Device Selection'!$G$9)*(D162/'Device Selection'!$G$10)*('Device Selection'!$G$11*1000)+A162*'Device Selection'!$B$15</f>
        <v>4325.2403522259683</v>
      </c>
      <c r="F162" s="45">
        <f>'Device Selection'!$B$5/('Device Selection'!$B$5+E162/1000)</f>
        <v>0.98578744126770435</v>
      </c>
      <c r="G162" s="44">
        <f>'Device Selection'!$B$10 + (E162/A162)*'Device Selection'!$G$14 + ((E162/A162-'Device Selection'!$B$15)/(6*B162))*('Device Selection'!$G$12+'Device Selection'!$G$13)</f>
        <v>83.916861318504857</v>
      </c>
      <c r="H162" s="55" t="str">
        <f>IF(AND(C162*(1+'Device Selection'!$B$8)&lt;='Device Selection'!$G$4,D162*(1+'Device Selection'!$B$9)/B162&lt;='Device Selection'!$G$5,G162&lt;='Device Selection'!$B$11),"OK","")</f>
        <v>OK</v>
      </c>
    </row>
    <row r="163" spans="1:8">
      <c r="A163" s="43">
        <v>16</v>
      </c>
      <c r="B163" s="43">
        <v>10</v>
      </c>
      <c r="C163" s="44">
        <f>'Device Selection'!$B$4/A163</f>
        <v>75</v>
      </c>
      <c r="D163" s="44">
        <f>'Device Selection'!$B$5*1000/A163/(SQRT(3)*('Device Selection'!$B$7*(C163)/SQRT(2))*'Device Selection'!$B$6)</f>
        <v>214.86752129677006</v>
      </c>
      <c r="E163" s="44">
        <f>A163*3*D163^2*('Device Selection'!$G$6/1000)/B163+A163*6*(('Device Selection'!$G$7+'Device Selection'!$G$8)/1000)*(C163/'Device Selection'!$G$9)*(D163/'Device Selection'!$G$10)*('Device Selection'!$G$11*1000)+A163*'Device Selection'!$B$15</f>
        <v>4202.1255476707202</v>
      </c>
      <c r="F163" s="45">
        <f>'Device Selection'!$B$5/('Device Selection'!$B$5+E163/1000)</f>
        <v>0.98618640306965166</v>
      </c>
      <c r="G163" s="44">
        <f>'Device Selection'!$B$10 + (E163/A163)*'Device Selection'!$G$14 + ((E163/A163-'Device Selection'!$B$15)/(6*B163))*('Device Selection'!$G$12+'Device Selection'!$G$13)</f>
        <v>83.481819465443564</v>
      </c>
      <c r="H163" s="55" t="str">
        <f>IF(AND(C163*(1+'Device Selection'!$B$8)&lt;='Device Selection'!$G$4,D163*(1+'Device Selection'!$B$9)/B163&lt;='Device Selection'!$G$5,G163&lt;='Device Selection'!$B$11),"OK","")</f>
        <v>OK</v>
      </c>
    </row>
    <row r="164" spans="1:8">
      <c r="A164" s="43">
        <v>17</v>
      </c>
      <c r="B164" s="43">
        <v>1</v>
      </c>
      <c r="C164" s="44">
        <f>'Device Selection'!$B$4/A164</f>
        <v>70.588235294117652</v>
      </c>
      <c r="D164" s="44">
        <f>'Device Selection'!$B$5*1000/A164/(SQRT(3)*('Device Selection'!$B$7*(C164)/SQRT(2))*'Device Selection'!$B$6)</f>
        <v>214.86752129677006</v>
      </c>
      <c r="E164" s="44">
        <f>A164*3*D164^2*('Device Selection'!$G$6/1000)/B164+A164*6*(('Device Selection'!$G$7+'Device Selection'!$G$8)/1000)*(C164/'Device Selection'!$G$9)*(D164/'Device Selection'!$G$10)*('Device Selection'!$G$11*1000)+A164*'Device Selection'!$B$15</f>
        <v>14866.945492269064</v>
      </c>
      <c r="F164" s="45">
        <f>'Device Selection'!$B$5/('Device Selection'!$B$5+E164/1000)</f>
        <v>0.95278340357694336</v>
      </c>
      <c r="G164" s="44">
        <f>'Device Selection'!$B$10 + (E164/A164)*'Device Selection'!$G$14 + ((E164/A164-'Device Selection'!$B$15)/(6*B164))*('Device Selection'!$G$12+'Device Selection'!$G$13)</f>
        <v>125.38665967708083</v>
      </c>
      <c r="H164" s="55" t="str">
        <f>IF(AND(C164*(1+'Device Selection'!$B$8)&lt;='Device Selection'!$G$4,D164*(1+'Device Selection'!$B$9)/B164&lt;='Device Selection'!$G$5,G164&lt;='Device Selection'!$B$11),"OK","")</f>
        <v/>
      </c>
    </row>
    <row r="165" spans="1:8">
      <c r="A165" s="43">
        <v>17</v>
      </c>
      <c r="B165" s="43">
        <v>2</v>
      </c>
      <c r="C165" s="44">
        <f>'Device Selection'!$B$4/A165</f>
        <v>70.588235294117652</v>
      </c>
      <c r="D165" s="44">
        <f>'Device Selection'!$B$5*1000/A165/(SQRT(3)*('Device Selection'!$B$7*(C165)/SQRT(2))*'Device Selection'!$B$6)</f>
        <v>214.86752129677006</v>
      </c>
      <c r="E165" s="44">
        <f>A165*3*D165^2*('Device Selection'!$G$6/1000)/B165+A165*6*(('Device Selection'!$G$7+'Device Selection'!$G$8)/1000)*(C165/'Device Selection'!$G$9)*(D165/'Device Selection'!$G$10)*('Device Selection'!$G$11*1000)+A165*'Device Selection'!$B$15</f>
        <v>8980.5188994712771</v>
      </c>
      <c r="F165" s="45">
        <f>'Device Selection'!$B$5/('Device Selection'!$B$5+E165/1000)</f>
        <v>0.97093499961920526</v>
      </c>
      <c r="G165" s="44">
        <f>'Device Selection'!$B$10 + (E165/A165)*'Device Selection'!$G$14 + ((E165/A165-'Device Selection'!$B$15)/(6*B165))*('Device Selection'!$G$12+'Device Selection'!$G$13)</f>
        <v>99.935062998237584</v>
      </c>
      <c r="H165" s="55" t="str">
        <f>IF(AND(C165*(1+'Device Selection'!$B$8)&lt;='Device Selection'!$G$4,D165*(1+'Device Selection'!$B$9)/B165&lt;='Device Selection'!$G$5,G165&lt;='Device Selection'!$B$11),"OK","")</f>
        <v/>
      </c>
    </row>
    <row r="166" spans="1:8">
      <c r="A166" s="43">
        <v>17</v>
      </c>
      <c r="B166" s="43">
        <v>3</v>
      </c>
      <c r="C166" s="44">
        <f>'Device Selection'!$B$4/A166</f>
        <v>70.588235294117652</v>
      </c>
      <c r="D166" s="44">
        <f>'Device Selection'!$B$5*1000/A166/(SQRT(3)*('Device Selection'!$B$7*(C166)/SQRT(2))*'Device Selection'!$B$6)</f>
        <v>214.86752129677006</v>
      </c>
      <c r="E166" s="44">
        <f>A166*3*D166^2*('Device Selection'!$G$6/1000)/B166+A166*6*(('Device Selection'!$G$7+'Device Selection'!$G$8)/1000)*(C166/'Device Selection'!$G$9)*(D166/'Device Selection'!$G$10)*('Device Selection'!$G$11*1000)+A166*'Device Selection'!$B$15</f>
        <v>7018.3767018720146</v>
      </c>
      <c r="F166" s="45">
        <f>'Device Selection'!$B$5/('Device Selection'!$B$5+E166/1000)</f>
        <v>0.97714020646820388</v>
      </c>
      <c r="G166" s="44">
        <f>'Device Selection'!$B$10 + (E166/A166)*'Device Selection'!$G$14 + ((E166/A166-'Device Selection'!$B$15)/(6*B166))*('Device Selection'!$G$12+'Device Selection'!$G$13)</f>
        <v>92.477154143250246</v>
      </c>
      <c r="H166" s="55" t="str">
        <f>IF(AND(C166*(1+'Device Selection'!$B$8)&lt;='Device Selection'!$G$4,D166*(1+'Device Selection'!$B$9)/B166&lt;='Device Selection'!$G$5,G166&lt;='Device Selection'!$B$11),"OK","")</f>
        <v>OK</v>
      </c>
    </row>
    <row r="167" spans="1:8">
      <c r="A167" s="43">
        <v>17</v>
      </c>
      <c r="B167" s="43">
        <v>4</v>
      </c>
      <c r="C167" s="44">
        <f>'Device Selection'!$B$4/A167</f>
        <v>70.588235294117652</v>
      </c>
      <c r="D167" s="44">
        <f>'Device Selection'!$B$5*1000/A167/(SQRT(3)*('Device Selection'!$B$7*(C167)/SQRT(2))*'Device Selection'!$B$6)</f>
        <v>214.86752129677006</v>
      </c>
      <c r="E167" s="44">
        <f>A167*3*D167^2*('Device Selection'!$G$6/1000)/B167+A167*6*(('Device Selection'!$G$7+'Device Selection'!$G$8)/1000)*(C167/'Device Selection'!$G$9)*(D167/'Device Selection'!$G$10)*('Device Selection'!$G$11*1000)+A167*'Device Selection'!$B$15</f>
        <v>6037.3056030723837</v>
      </c>
      <c r="F167" s="45">
        <f>'Device Selection'!$B$5/('Device Selection'!$B$5+E167/1000)</f>
        <v>0.98027264816236903</v>
      </c>
      <c r="G167" s="44">
        <f>'Device Selection'!$B$10 + (E167/A167)*'Device Selection'!$G$14 + ((E167/A167-'Device Selection'!$B$15)/(6*B167))*('Device Selection'!$G$12+'Device Selection'!$G$13)</f>
        <v>88.940566597874138</v>
      </c>
      <c r="H167" s="55" t="str">
        <f>IF(AND(C167*(1+'Device Selection'!$B$8)&lt;='Device Selection'!$G$4,D167*(1+'Device Selection'!$B$9)/B167&lt;='Device Selection'!$G$5,G167&lt;='Device Selection'!$B$11),"OK","")</f>
        <v>OK</v>
      </c>
    </row>
    <row r="168" spans="1:8">
      <c r="A168" s="43">
        <v>17</v>
      </c>
      <c r="B168" s="43">
        <v>5</v>
      </c>
      <c r="C168" s="44">
        <f>'Device Selection'!$B$4/A168</f>
        <v>70.588235294117652</v>
      </c>
      <c r="D168" s="44">
        <f>'Device Selection'!$B$5*1000/A168/(SQRT(3)*('Device Selection'!$B$7*(C168)/SQRT(2))*'Device Selection'!$B$6)</f>
        <v>214.86752129677006</v>
      </c>
      <c r="E168" s="44">
        <f>A168*3*D168^2*('Device Selection'!$G$6/1000)/B168+A168*6*(('Device Selection'!$G$7+'Device Selection'!$G$8)/1000)*(C168/'Device Selection'!$G$9)*(D168/'Device Selection'!$G$10)*('Device Selection'!$G$11*1000)+A168*'Device Selection'!$B$15</f>
        <v>5448.662943792604</v>
      </c>
      <c r="F168" s="45">
        <f>'Device Selection'!$B$5/('Device Selection'!$B$5+E168/1000)</f>
        <v>0.98216177183006603</v>
      </c>
      <c r="G168" s="44">
        <f>'Device Selection'!$B$10 + (E168/A168)*'Device Selection'!$G$14 + ((E168/A168-'Device Selection'!$B$15)/(6*B168))*('Device Selection'!$G$12+'Device Selection'!$G$13)</f>
        <v>86.880171472926108</v>
      </c>
      <c r="H168" s="55" t="str">
        <f>IF(AND(C168*(1+'Device Selection'!$B$8)&lt;='Device Selection'!$G$4,D168*(1+'Device Selection'!$B$9)/B168&lt;='Device Selection'!$G$5,G168&lt;='Device Selection'!$B$11),"OK","")</f>
        <v>OK</v>
      </c>
    </row>
    <row r="169" spans="1:8">
      <c r="A169" s="43">
        <v>17</v>
      </c>
      <c r="B169" s="43">
        <v>6</v>
      </c>
      <c r="C169" s="44">
        <f>'Device Selection'!$B$4/A169</f>
        <v>70.588235294117652</v>
      </c>
      <c r="D169" s="44">
        <f>'Device Selection'!$B$5*1000/A169/(SQRT(3)*('Device Selection'!$B$7*(C169)/SQRT(2))*'Device Selection'!$B$6)</f>
        <v>214.86752129677006</v>
      </c>
      <c r="E169" s="44">
        <f>A169*3*D169^2*('Device Selection'!$G$6/1000)/B169+A169*6*(('Device Selection'!$G$7+'Device Selection'!$G$8)/1000)*(C169/'Device Selection'!$G$9)*(D169/'Device Selection'!$G$10)*('Device Selection'!$G$11*1000)+A169*'Device Selection'!$B$15</f>
        <v>5056.234504272752</v>
      </c>
      <c r="F169" s="45">
        <f>'Device Selection'!$B$5/('Device Selection'!$B$5+E169/1000)</f>
        <v>0.98342523793198544</v>
      </c>
      <c r="G169" s="44">
        <f>'Device Selection'!$B$10 + (E169/A169)*'Device Selection'!$G$14 + ((E169/A169-'Device Selection'!$B$15)/(6*B169))*('Device Selection'!$G$12+'Device Selection'!$G$13)</f>
        <v>85.532223640576433</v>
      </c>
      <c r="H169" s="55" t="str">
        <f>IF(AND(C169*(1+'Device Selection'!$B$8)&lt;='Device Selection'!$G$4,D169*(1+'Device Selection'!$B$9)/B169&lt;='Device Selection'!$G$5,G169&lt;='Device Selection'!$B$11),"OK","")</f>
        <v>OK</v>
      </c>
    </row>
    <row r="170" spans="1:8">
      <c r="A170" s="43">
        <v>17</v>
      </c>
      <c r="B170" s="43">
        <v>7</v>
      </c>
      <c r="C170" s="44">
        <f>'Device Selection'!$B$4/A170</f>
        <v>70.588235294117652</v>
      </c>
      <c r="D170" s="44">
        <f>'Device Selection'!$B$5*1000/A170/(SQRT(3)*('Device Selection'!$B$7*(C170)/SQRT(2))*'Device Selection'!$B$6)</f>
        <v>214.86752129677006</v>
      </c>
      <c r="E170" s="44">
        <f>A170*3*D170^2*('Device Selection'!$G$6/1000)/B170+A170*6*(('Device Selection'!$G$7+'Device Selection'!$G$8)/1000)*(C170/'Device Selection'!$G$9)*(D170/'Device Selection'!$G$10)*('Device Selection'!$G$11*1000)+A170*'Device Selection'!$B$15</f>
        <v>4775.9284760442861</v>
      </c>
      <c r="F170" s="45">
        <f>'Device Selection'!$B$5/('Device Selection'!$B$5+E170/1000)</f>
        <v>0.98432970576145862</v>
      </c>
      <c r="G170" s="44">
        <f>'Device Selection'!$B$10 + (E170/A170)*'Device Selection'!$G$14 + ((E170/A170-'Device Selection'!$B$15)/(6*B170))*('Device Selection'!$G$12+'Device Selection'!$G$13)</f>
        <v>84.581966495485361</v>
      </c>
      <c r="H170" s="55" t="str">
        <f>IF(AND(C170*(1+'Device Selection'!$B$8)&lt;='Device Selection'!$G$4,D170*(1+'Device Selection'!$B$9)/B170&lt;='Device Selection'!$G$5,G170&lt;='Device Selection'!$B$11),"OK","")</f>
        <v>OK</v>
      </c>
    </row>
    <row r="171" spans="1:8">
      <c r="A171" s="43">
        <v>17</v>
      </c>
      <c r="B171" s="43">
        <v>8</v>
      </c>
      <c r="C171" s="44">
        <f>'Device Selection'!$B$4/A171</f>
        <v>70.588235294117652</v>
      </c>
      <c r="D171" s="44">
        <f>'Device Selection'!$B$5*1000/A171/(SQRT(3)*('Device Selection'!$B$7*(C171)/SQRT(2))*'Device Selection'!$B$6)</f>
        <v>214.86752129677006</v>
      </c>
      <c r="E171" s="44">
        <f>A171*3*D171^2*('Device Selection'!$G$6/1000)/B171+A171*6*(('Device Selection'!$G$7+'Device Selection'!$G$8)/1000)*(C171/'Device Selection'!$G$9)*(D171/'Device Selection'!$G$10)*('Device Selection'!$G$11*1000)+A171*'Device Selection'!$B$15</f>
        <v>4565.6989548729362</v>
      </c>
      <c r="F171" s="45">
        <f>'Device Selection'!$B$5/('Device Selection'!$B$5+E171/1000)</f>
        <v>0.9850091491900097</v>
      </c>
      <c r="G171" s="44">
        <f>'Device Selection'!$B$10 + (E171/A171)*'Device Selection'!$G$14 + ((E171/A171-'Device Selection'!$B$15)/(6*B171))*('Device Selection'!$G$12+'Device Selection'!$G$13)</f>
        <v>83.876143882456972</v>
      </c>
      <c r="H171" s="55" t="str">
        <f>IF(AND(C171*(1+'Device Selection'!$B$8)&lt;='Device Selection'!$G$4,D171*(1+'Device Selection'!$B$9)/B171&lt;='Device Selection'!$G$5,G171&lt;='Device Selection'!$B$11),"OK","")</f>
        <v>OK</v>
      </c>
    </row>
    <row r="172" spans="1:8">
      <c r="A172" s="43">
        <v>17</v>
      </c>
      <c r="B172" s="43">
        <v>9</v>
      </c>
      <c r="C172" s="44">
        <f>'Device Selection'!$B$4/A172</f>
        <v>70.588235294117652</v>
      </c>
      <c r="D172" s="44">
        <f>'Device Selection'!$B$5*1000/A172/(SQRT(3)*('Device Selection'!$B$7*(C172)/SQRT(2))*'Device Selection'!$B$6)</f>
        <v>214.86752129677006</v>
      </c>
      <c r="E172" s="44">
        <f>A172*3*D172^2*('Device Selection'!$G$6/1000)/B172+A172*6*(('Device Selection'!$G$7+'Device Selection'!$G$8)/1000)*(C172/'Device Selection'!$G$9)*(D172/'Device Selection'!$G$10)*('Device Selection'!$G$11*1000)+A172*'Device Selection'!$B$15</f>
        <v>4402.1871050729978</v>
      </c>
      <c r="F172" s="45">
        <f>'Device Selection'!$B$5/('Device Selection'!$B$5+E172/1000)</f>
        <v>0.98553825402196127</v>
      </c>
      <c r="G172" s="44">
        <f>'Device Selection'!$B$10 + (E172/A172)*'Device Selection'!$G$14 + ((E172/A172-'Device Selection'!$B$15)/(6*B172))*('Device Selection'!$G$12+'Device Selection'!$G$13)</f>
        <v>83.331241995754823</v>
      </c>
      <c r="H172" s="55" t="str">
        <f>IF(AND(C172*(1+'Device Selection'!$B$8)&lt;='Device Selection'!$G$4,D172*(1+'Device Selection'!$B$9)/B172&lt;='Device Selection'!$G$5,G172&lt;='Device Selection'!$B$11),"OK","")</f>
        <v>OK</v>
      </c>
    </row>
    <row r="173" spans="1:8">
      <c r="A173" s="43">
        <v>17</v>
      </c>
      <c r="B173" s="43">
        <v>10</v>
      </c>
      <c r="C173" s="44">
        <f>'Device Selection'!$B$4/A173</f>
        <v>70.588235294117652</v>
      </c>
      <c r="D173" s="44">
        <f>'Device Selection'!$B$5*1000/A173/(SQRT(3)*('Device Selection'!$B$7*(C173)/SQRT(2))*'Device Selection'!$B$6)</f>
        <v>214.86752129677006</v>
      </c>
      <c r="E173" s="44">
        <f>A173*3*D173^2*('Device Selection'!$G$6/1000)/B173+A173*6*(('Device Selection'!$G$7+'Device Selection'!$G$8)/1000)*(C173/'Device Selection'!$G$9)*(D173/'Device Selection'!$G$10)*('Device Selection'!$G$11*1000)+A173*'Device Selection'!$B$15</f>
        <v>4271.3776252330472</v>
      </c>
      <c r="F173" s="45">
        <f>'Device Selection'!$B$5/('Device Selection'!$B$5+E173/1000)</f>
        <v>0.98596194732948539</v>
      </c>
      <c r="G173" s="44">
        <f>'Device Selection'!$B$10 + (E173/A173)*'Device Selection'!$G$14 + ((E173/A173-'Device Selection'!$B$15)/(6*B173))*('Device Selection'!$G$12+'Device Selection'!$G$13)</f>
        <v>82.897885378154697</v>
      </c>
      <c r="H173" s="55" t="str">
        <f>IF(AND(C173*(1+'Device Selection'!$B$8)&lt;='Device Selection'!$G$4,D173*(1+'Device Selection'!$B$9)/B173&lt;='Device Selection'!$G$5,G173&lt;='Device Selection'!$B$11),"OK","")</f>
        <v>OK</v>
      </c>
    </row>
    <row r="174" spans="1:8">
      <c r="A174" s="43">
        <v>18</v>
      </c>
      <c r="B174" s="43">
        <v>1</v>
      </c>
      <c r="C174" s="44">
        <f>'Device Selection'!$B$4/A174</f>
        <v>66.666666666666671</v>
      </c>
      <c r="D174" s="44">
        <f>'Device Selection'!$B$5*1000/A174/(SQRT(3)*('Device Selection'!$B$7*(C174)/SQRT(2))*'Device Selection'!$B$6)</f>
        <v>214.86752129677006</v>
      </c>
      <c r="E174" s="44">
        <f>A174*3*D174^2*('Device Selection'!$G$6/1000)/B174+A174*6*(('Device Selection'!$G$7+'Device Selection'!$G$8)/1000)*(C174/'Device Selection'!$G$9)*(D174/'Device Selection'!$G$10)*('Device Selection'!$G$11*1000)+A174*'Device Selection'!$B$15</f>
        <v>15559.466267892332</v>
      </c>
      <c r="F174" s="45">
        <f>'Device Selection'!$B$5/('Device Selection'!$B$5+E174/1000)</f>
        <v>0.95069244332323966</v>
      </c>
      <c r="G174" s="44">
        <f>'Device Selection'!$B$10 + (E174/A174)*'Device Selection'!$G$14 + ((E174/A174-'Device Selection'!$B$15)/(6*B174))*('Device Selection'!$G$12+'Device Selection'!$G$13)</f>
        <v>124.7462702018434</v>
      </c>
      <c r="H174" s="55" t="str">
        <f>IF(AND(C174*(1+'Device Selection'!$B$8)&lt;='Device Selection'!$G$4,D174*(1+'Device Selection'!$B$9)/B174&lt;='Device Selection'!$G$5,G174&lt;='Device Selection'!$B$11),"OK","")</f>
        <v/>
      </c>
    </row>
    <row r="175" spans="1:8">
      <c r="A175" s="43">
        <v>18</v>
      </c>
      <c r="B175" s="43">
        <v>2</v>
      </c>
      <c r="C175" s="44">
        <f>'Device Selection'!$B$4/A175</f>
        <v>66.666666666666671</v>
      </c>
      <c r="D175" s="44">
        <f>'Device Selection'!$B$5*1000/A175/(SQRT(3)*('Device Selection'!$B$7*(C175)/SQRT(2))*'Device Selection'!$B$6)</f>
        <v>214.86752129677006</v>
      </c>
      <c r="E175" s="44">
        <f>A175*3*D175^2*('Device Selection'!$G$6/1000)/B175+A175*6*(('Device Selection'!$G$7+'Device Selection'!$G$8)/1000)*(C175/'Device Selection'!$G$9)*(D175/'Device Selection'!$G$10)*('Device Selection'!$G$11*1000)+A175*'Device Selection'!$B$15</f>
        <v>9326.7792872829104</v>
      </c>
      <c r="F175" s="45">
        <f>'Device Selection'!$B$5/('Device Selection'!$B$5+E175/1000)</f>
        <v>0.9698481350086382</v>
      </c>
      <c r="G175" s="44">
        <f>'Device Selection'!$B$10 + (E175/A175)*'Device Selection'!$G$14 + ((E175/A175-'Device Selection'!$B$15)/(6*B175))*('Device Selection'!$G$12+'Device Selection'!$G$13)</f>
        <v>99.362082941446204</v>
      </c>
      <c r="H175" s="55" t="str">
        <f>IF(AND(C175*(1+'Device Selection'!$B$8)&lt;='Device Selection'!$G$4,D175*(1+'Device Selection'!$B$9)/B175&lt;='Device Selection'!$G$5,G175&lt;='Device Selection'!$B$11),"OK","")</f>
        <v/>
      </c>
    </row>
    <row r="176" spans="1:8">
      <c r="A176" s="43">
        <v>18</v>
      </c>
      <c r="B176" s="43">
        <v>3</v>
      </c>
      <c r="C176" s="44">
        <f>'Device Selection'!$B$4/A176</f>
        <v>66.666666666666671</v>
      </c>
      <c r="D176" s="44">
        <f>'Device Selection'!$B$5*1000/A176/(SQRT(3)*('Device Selection'!$B$7*(C176)/SQRT(2))*'Device Selection'!$B$6)</f>
        <v>214.86752129677006</v>
      </c>
      <c r="E176" s="44">
        <f>A176*3*D176^2*('Device Selection'!$G$6/1000)/B176+A176*6*(('Device Selection'!$G$7+'Device Selection'!$G$8)/1000)*(C176/'Device Selection'!$G$9)*(D176/'Device Selection'!$G$10)*('Device Selection'!$G$11*1000)+A176*'Device Selection'!$B$15</f>
        <v>7249.2169604131032</v>
      </c>
      <c r="F176" s="45">
        <f>'Device Selection'!$B$5/('Device Selection'!$B$5+E176/1000)</f>
        <v>0.97640606855851775</v>
      </c>
      <c r="G176" s="44">
        <f>'Device Selection'!$B$10 + (E176/A176)*'Device Selection'!$G$14 + ((E176/A176-'Device Selection'!$B$15)/(6*B176))*('Device Selection'!$G$12+'Device Selection'!$G$13)</f>
        <v>91.92664389260753</v>
      </c>
      <c r="H176" s="55" t="str">
        <f>IF(AND(C176*(1+'Device Selection'!$B$8)&lt;='Device Selection'!$G$4,D176*(1+'Device Selection'!$B$9)/B176&lt;='Device Selection'!$G$5,G176&lt;='Device Selection'!$B$11),"OK","")</f>
        <v>OK</v>
      </c>
    </row>
    <row r="177" spans="1:8">
      <c r="A177" s="43">
        <v>18</v>
      </c>
      <c r="B177" s="43">
        <v>4</v>
      </c>
      <c r="C177" s="44">
        <f>'Device Selection'!$B$4/A177</f>
        <v>66.666666666666671</v>
      </c>
      <c r="D177" s="44">
        <f>'Device Selection'!$B$5*1000/A177/(SQRT(3)*('Device Selection'!$B$7*(C177)/SQRT(2))*'Device Selection'!$B$6)</f>
        <v>214.86752129677006</v>
      </c>
      <c r="E177" s="44">
        <f>A177*3*D177^2*('Device Selection'!$G$6/1000)/B177+A177*6*(('Device Selection'!$G$7+'Device Selection'!$G$8)/1000)*(C177/'Device Selection'!$G$9)*(D177/'Device Selection'!$G$10)*('Device Selection'!$G$11*1000)+A177*'Device Selection'!$B$15</f>
        <v>6210.4357969782004</v>
      </c>
      <c r="F177" s="45">
        <f>'Device Selection'!$B$5/('Device Selection'!$B$5+E177/1000)</f>
        <v>0.97971840580542535</v>
      </c>
      <c r="G177" s="44">
        <f>'Device Selection'!$B$10 + (E177/A177)*'Device Selection'!$G$14 + ((E177/A177-'Device Selection'!$B$15)/(6*B177))*('Device Selection'!$G$12+'Device Selection'!$G$13)</f>
        <v>88.401291250305775</v>
      </c>
      <c r="H177" s="55" t="str">
        <f>IF(AND(C177*(1+'Device Selection'!$B$8)&lt;='Device Selection'!$G$4,D177*(1+'Device Selection'!$B$9)/B177&lt;='Device Selection'!$G$5,G177&lt;='Device Selection'!$B$11),"OK","")</f>
        <v>OK</v>
      </c>
    </row>
    <row r="178" spans="1:8">
      <c r="A178" s="43">
        <v>18</v>
      </c>
      <c r="B178" s="43">
        <v>5</v>
      </c>
      <c r="C178" s="44">
        <f>'Device Selection'!$B$4/A178</f>
        <v>66.666666666666671</v>
      </c>
      <c r="D178" s="44">
        <f>'Device Selection'!$B$5*1000/A178/(SQRT(3)*('Device Selection'!$B$7*(C178)/SQRT(2))*'Device Selection'!$B$6)</f>
        <v>214.86752129677006</v>
      </c>
      <c r="E178" s="44">
        <f>A178*3*D178^2*('Device Selection'!$G$6/1000)/B178+A178*6*(('Device Selection'!$G$7+'Device Selection'!$G$8)/1000)*(C178/'Device Selection'!$G$9)*(D178/'Device Selection'!$G$10)*('Device Selection'!$G$11*1000)+A178*'Device Selection'!$B$15</f>
        <v>5587.167098917258</v>
      </c>
      <c r="F178" s="45">
        <f>'Device Selection'!$B$5/('Device Selection'!$B$5+E178/1000)</f>
        <v>0.98171661738299143</v>
      </c>
      <c r="G178" s="44">
        <f>'Device Selection'!$B$10 + (E178/A178)*'Device Selection'!$G$14 + ((E178/A178-'Device Selection'!$B$15)/(6*B178))*('Device Selection'!$G$12+'Device Selection'!$G$13)</f>
        <v>86.347637067202342</v>
      </c>
      <c r="H178" s="55" t="str">
        <f>IF(AND(C178*(1+'Device Selection'!$B$8)&lt;='Device Selection'!$G$4,D178*(1+'Device Selection'!$B$9)/B178&lt;='Device Selection'!$G$5,G178&lt;='Device Selection'!$B$11),"OK","")</f>
        <v>OK</v>
      </c>
    </row>
    <row r="179" spans="1:8">
      <c r="A179" s="43">
        <v>18</v>
      </c>
      <c r="B179" s="43">
        <v>6</v>
      </c>
      <c r="C179" s="44">
        <f>'Device Selection'!$B$4/A179</f>
        <v>66.666666666666671</v>
      </c>
      <c r="D179" s="44">
        <f>'Device Selection'!$B$5*1000/A179/(SQRT(3)*('Device Selection'!$B$7*(C179)/SQRT(2))*'Device Selection'!$B$6)</f>
        <v>214.86752129677006</v>
      </c>
      <c r="E179" s="44">
        <f>A179*3*D179^2*('Device Selection'!$G$6/1000)/B179+A179*6*(('Device Selection'!$G$7+'Device Selection'!$G$8)/1000)*(C179/'Device Selection'!$G$9)*(D179/'Device Selection'!$G$10)*('Device Selection'!$G$11*1000)+A179*'Device Selection'!$B$15</f>
        <v>5171.6546335432968</v>
      </c>
      <c r="F179" s="45">
        <f>'Device Selection'!$B$5/('Device Selection'!$B$5+E179/1000)</f>
        <v>0.98305329294179189</v>
      </c>
      <c r="G179" s="44">
        <f>'Device Selection'!$B$10 + (E179/A179)*'Device Selection'!$G$14 + ((E179/A179-'Device Selection'!$B$15)/(6*B179))*('Device Selection'!$G$12+'Device Selection'!$G$13)</f>
        <v>85.004183196082408</v>
      </c>
      <c r="H179" s="55" t="str">
        <f>IF(AND(C179*(1+'Device Selection'!$B$8)&lt;='Device Selection'!$G$4,D179*(1+'Device Selection'!$B$9)/B179&lt;='Device Selection'!$G$5,G179&lt;='Device Selection'!$B$11),"OK","")</f>
        <v>OK</v>
      </c>
    </row>
    <row r="180" spans="1:8">
      <c r="A180" s="43">
        <v>18</v>
      </c>
      <c r="B180" s="43">
        <v>7</v>
      </c>
      <c r="C180" s="44">
        <f>'Device Selection'!$B$4/A180</f>
        <v>66.666666666666671</v>
      </c>
      <c r="D180" s="44">
        <f>'Device Selection'!$B$5*1000/A180/(SQRT(3)*('Device Selection'!$B$7*(C180)/SQRT(2))*'Device Selection'!$B$6)</f>
        <v>214.86752129677006</v>
      </c>
      <c r="E180" s="44">
        <f>A180*3*D180^2*('Device Selection'!$G$6/1000)/B180+A180*6*(('Device Selection'!$G$7+'Device Selection'!$G$8)/1000)*(C180/'Device Selection'!$G$9)*(D180/'Device Selection'!$G$10)*('Device Selection'!$G$11*1000)+A180*'Device Selection'!$B$15</f>
        <v>4874.860015419039</v>
      </c>
      <c r="F180" s="45">
        <f>'Device Selection'!$B$5/('Device Selection'!$B$5+E180/1000)</f>
        <v>0.98401029191067946</v>
      </c>
      <c r="G180" s="44">
        <f>'Device Selection'!$B$10 + (E180/A180)*'Device Selection'!$G$14 + ((E180/A180-'Device Selection'!$B$15)/(6*B180))*('Device Selection'!$G$12+'Device Selection'!$G$13)</f>
        <v>84.057136023298284</v>
      </c>
      <c r="H180" s="55" t="str">
        <f>IF(AND(C180*(1+'Device Selection'!$B$8)&lt;='Device Selection'!$G$4,D180*(1+'Device Selection'!$B$9)/B180&lt;='Device Selection'!$G$5,G180&lt;='Device Selection'!$B$11),"OK","")</f>
        <v>OK</v>
      </c>
    </row>
    <row r="181" spans="1:8">
      <c r="A181" s="43">
        <v>18</v>
      </c>
      <c r="B181" s="43">
        <v>8</v>
      </c>
      <c r="C181" s="44">
        <f>'Device Selection'!$B$4/A181</f>
        <v>66.666666666666671</v>
      </c>
      <c r="D181" s="44">
        <f>'Device Selection'!$B$5*1000/A181/(SQRT(3)*('Device Selection'!$B$7*(C181)/SQRT(2))*'Device Selection'!$B$6)</f>
        <v>214.86752129677006</v>
      </c>
      <c r="E181" s="44">
        <f>A181*3*D181^2*('Device Selection'!$G$6/1000)/B181+A181*6*(('Device Selection'!$G$7+'Device Selection'!$G$8)/1000)*(C181/'Device Selection'!$G$9)*(D181/'Device Selection'!$G$10)*('Device Selection'!$G$11*1000)+A181*'Device Selection'!$B$15</f>
        <v>4652.2640518258449</v>
      </c>
      <c r="F181" s="45">
        <f>'Device Selection'!$B$5/('Device Selection'!$B$5+E181/1000)</f>
        <v>0.98472926480193679</v>
      </c>
      <c r="G181" s="44">
        <f>'Device Selection'!$B$10 + (E181/A181)*'Device Selection'!$G$14 + ((E181/A181-'Device Selection'!$B$15)/(6*B181))*('Device Selection'!$G$12+'Device Selection'!$G$13)</f>
        <v>83.35372088950011</v>
      </c>
      <c r="H181" s="55" t="str">
        <f>IF(AND(C181*(1+'Device Selection'!$B$8)&lt;='Device Selection'!$G$4,D181*(1+'Device Selection'!$B$9)/B181&lt;='Device Selection'!$G$5,G181&lt;='Device Selection'!$B$11),"OK","")</f>
        <v>OK</v>
      </c>
    </row>
    <row r="182" spans="1:8">
      <c r="A182" s="43">
        <v>18</v>
      </c>
      <c r="B182" s="43">
        <v>9</v>
      </c>
      <c r="C182" s="44">
        <f>'Device Selection'!$B$4/A182</f>
        <v>66.666666666666671</v>
      </c>
      <c r="D182" s="44">
        <f>'Device Selection'!$B$5*1000/A182/(SQRT(3)*('Device Selection'!$B$7*(C182)/SQRT(2))*'Device Selection'!$B$6)</f>
        <v>214.86752129677006</v>
      </c>
      <c r="E182" s="44">
        <f>A182*3*D182^2*('Device Selection'!$G$6/1000)/B182+A182*6*(('Device Selection'!$G$7+'Device Selection'!$G$8)/1000)*(C182/'Device Selection'!$G$9)*(D182/'Device Selection'!$G$10)*('Device Selection'!$G$11*1000)+A182*'Device Selection'!$B$15</f>
        <v>4479.1338579200274</v>
      </c>
      <c r="F182" s="45">
        <f>'Device Selection'!$B$5/('Device Selection'!$B$5+E182/1000)</f>
        <v>0.98528919272343263</v>
      </c>
      <c r="G182" s="44">
        <f>'Device Selection'!$B$10 + (E182/A182)*'Device Selection'!$G$14 + ((E182/A182-'Device Selection'!$B$15)/(6*B182))*('Device Selection'!$G$12+'Device Selection'!$G$13)</f>
        <v>82.810691486643705</v>
      </c>
      <c r="H182" s="55" t="str">
        <f>IF(AND(C182*(1+'Device Selection'!$B$8)&lt;='Device Selection'!$G$4,D182*(1+'Device Selection'!$B$9)/B182&lt;='Device Selection'!$G$5,G182&lt;='Device Selection'!$B$11),"OK","")</f>
        <v>OK</v>
      </c>
    </row>
    <row r="183" spans="1:8">
      <c r="A183" s="43">
        <v>18</v>
      </c>
      <c r="B183" s="43">
        <v>10</v>
      </c>
      <c r="C183" s="44">
        <f>'Device Selection'!$B$4/A183</f>
        <v>66.666666666666671</v>
      </c>
      <c r="D183" s="44">
        <f>'Device Selection'!$B$5*1000/A183/(SQRT(3)*('Device Selection'!$B$7*(C183)/SQRT(2))*'Device Selection'!$B$6)</f>
        <v>214.86752129677006</v>
      </c>
      <c r="E183" s="44">
        <f>A183*3*D183^2*('Device Selection'!$G$6/1000)/B183+A183*6*(('Device Selection'!$G$7+'Device Selection'!$G$8)/1000)*(C183/'Device Selection'!$G$9)*(D183/'Device Selection'!$G$10)*('Device Selection'!$G$11*1000)+A183*'Device Selection'!$B$15</f>
        <v>4340.6297027953742</v>
      </c>
      <c r="F183" s="45">
        <f>'Device Selection'!$B$5/('Device Selection'!$B$5+E183/1000)</f>
        <v>0.98573759373819325</v>
      </c>
      <c r="G183" s="44">
        <f>'Device Selection'!$B$10 + (E183/A183)*'Device Selection'!$G$14 + ((E183/A183-'Device Selection'!$B$15)/(6*B183))*('Device Selection'!$G$12+'Device Selection'!$G$13)</f>
        <v>82.378832856120141</v>
      </c>
      <c r="H183" s="55" t="str">
        <f>IF(AND(C183*(1+'Device Selection'!$B$8)&lt;='Device Selection'!$G$4,D183*(1+'Device Selection'!$B$9)/B183&lt;='Device Selection'!$G$5,G183&lt;='Device Selection'!$B$11),"OK","")</f>
        <v>OK</v>
      </c>
    </row>
    <row r="184" spans="1:8">
      <c r="A184" s="43">
        <v>19</v>
      </c>
      <c r="B184" s="43">
        <v>1</v>
      </c>
      <c r="C184" s="44">
        <f>'Device Selection'!$B$4/A184</f>
        <v>63.157894736842103</v>
      </c>
      <c r="D184" s="44">
        <f>'Device Selection'!$B$5*1000/A184/(SQRT(3)*('Device Selection'!$B$7*(C184)/SQRT(2))*'Device Selection'!$B$6)</f>
        <v>214.86752129677004</v>
      </c>
      <c r="E184" s="44">
        <f>A184*3*D184^2*('Device Selection'!$G$6/1000)/B184+A184*6*(('Device Selection'!$G$7+'Device Selection'!$G$8)/1000)*(C184/'Device Selection'!$G$9)*(D184/'Device Selection'!$G$10)*('Device Selection'!$G$11*1000)+A184*'Device Selection'!$B$15</f>
        <v>16251.987043515599</v>
      </c>
      <c r="F184" s="45">
        <f>'Device Selection'!$B$5/('Device Selection'!$B$5+E184/1000)</f>
        <v>0.94861064053558219</v>
      </c>
      <c r="G184" s="44">
        <f>'Device Selection'!$B$10 + (E184/A184)*'Device Selection'!$G$14 + ((E184/A184-'Device Selection'!$B$15)/(6*B184))*('Device Selection'!$G$12+'Device Selection'!$G$13)</f>
        <v>124.17329014505199</v>
      </c>
      <c r="H184" s="55" t="str">
        <f>IF(AND(C184*(1+'Device Selection'!$B$8)&lt;='Device Selection'!$G$4,D184*(1+'Device Selection'!$B$9)/B184&lt;='Device Selection'!$G$5,G184&lt;='Device Selection'!$B$11),"OK","")</f>
        <v/>
      </c>
    </row>
    <row r="185" spans="1:8">
      <c r="A185" s="43">
        <v>19</v>
      </c>
      <c r="B185" s="43">
        <v>2</v>
      </c>
      <c r="C185" s="44">
        <f>'Device Selection'!$B$4/A185</f>
        <v>63.157894736842103</v>
      </c>
      <c r="D185" s="44">
        <f>'Device Selection'!$B$5*1000/A185/(SQRT(3)*('Device Selection'!$B$7*(C185)/SQRT(2))*'Device Selection'!$B$6)</f>
        <v>214.86752129677004</v>
      </c>
      <c r="E185" s="44">
        <f>A185*3*D185^2*('Device Selection'!$G$6/1000)/B185+A185*6*(('Device Selection'!$G$7+'Device Selection'!$G$8)/1000)*(C185/'Device Selection'!$G$9)*(D185/'Device Selection'!$G$10)*('Device Selection'!$G$11*1000)+A185*'Device Selection'!$B$15</f>
        <v>9673.0396750945438</v>
      </c>
      <c r="F185" s="45">
        <f>'Device Selection'!$B$5/('Device Selection'!$B$5+E185/1000)</f>
        <v>0.96876370094973929</v>
      </c>
      <c r="G185" s="44">
        <f>'Device Selection'!$B$10 + (E185/A185)*'Device Selection'!$G$14 + ((E185/A185-'Device Selection'!$B$15)/(6*B185))*('Device Selection'!$G$12+'Device Selection'!$G$13)</f>
        <v>98.849416574843374</v>
      </c>
      <c r="H185" s="55" t="str">
        <f>IF(AND(C185*(1+'Device Selection'!$B$8)&lt;='Device Selection'!$G$4,D185*(1+'Device Selection'!$B$9)/B185&lt;='Device Selection'!$G$5,G185&lt;='Device Selection'!$B$11),"OK","")</f>
        <v/>
      </c>
    </row>
    <row r="186" spans="1:8">
      <c r="A186" s="43">
        <v>19</v>
      </c>
      <c r="B186" s="43">
        <v>3</v>
      </c>
      <c r="C186" s="44">
        <f>'Device Selection'!$B$4/A186</f>
        <v>63.157894736842103</v>
      </c>
      <c r="D186" s="44">
        <f>'Device Selection'!$B$5*1000/A186/(SQRT(3)*('Device Selection'!$B$7*(C186)/SQRT(2))*'Device Selection'!$B$6)</f>
        <v>214.86752129677004</v>
      </c>
      <c r="E186" s="44">
        <f>A186*3*D186^2*('Device Selection'!$G$6/1000)/B186+A186*6*(('Device Selection'!$G$7+'Device Selection'!$G$8)/1000)*(C186/'Device Selection'!$G$9)*(D186/'Device Selection'!$G$10)*('Device Selection'!$G$11*1000)+A186*'Device Selection'!$B$15</f>
        <v>7480.0572189541917</v>
      </c>
      <c r="F186" s="45">
        <f>'Device Selection'!$B$5/('Device Selection'!$B$5+E186/1000)</f>
        <v>0.97567303295501961</v>
      </c>
      <c r="G186" s="44">
        <f>'Device Selection'!$B$10 + (E186/A186)*'Device Selection'!$G$14 + ((E186/A186-'Device Selection'!$B$15)/(6*B186))*('Device Selection'!$G$12+'Device Selection'!$G$13)</f>
        <v>91.434082089400903</v>
      </c>
      <c r="H186" s="55" t="str">
        <f>IF(AND(C186*(1+'Device Selection'!$B$8)&lt;='Device Selection'!$G$4,D186*(1+'Device Selection'!$B$9)/B186&lt;='Device Selection'!$G$5,G186&lt;='Device Selection'!$B$11),"OK","")</f>
        <v>OK</v>
      </c>
    </row>
    <row r="187" spans="1:8">
      <c r="A187" s="43">
        <v>19</v>
      </c>
      <c r="B187" s="43">
        <v>4</v>
      </c>
      <c r="C187" s="44">
        <f>'Device Selection'!$B$4/A187</f>
        <v>63.157894736842103</v>
      </c>
      <c r="D187" s="44">
        <f>'Device Selection'!$B$5*1000/A187/(SQRT(3)*('Device Selection'!$B$7*(C187)/SQRT(2))*'Device Selection'!$B$6)</f>
        <v>214.86752129677004</v>
      </c>
      <c r="E187" s="44">
        <f>A187*3*D187^2*('Device Selection'!$G$6/1000)/B187+A187*6*(('Device Selection'!$G$7+'Device Selection'!$G$8)/1000)*(C187/'Device Selection'!$G$9)*(D187/'Device Selection'!$G$10)*('Device Selection'!$G$11*1000)+A187*'Device Selection'!$B$15</f>
        <v>6383.5659908840162</v>
      </c>
      <c r="F187" s="45">
        <f>'Device Selection'!$B$5/('Device Selection'!$B$5+E187/1000)</f>
        <v>0.97916478982729138</v>
      </c>
      <c r="G187" s="44">
        <f>'Device Selection'!$B$10 + (E187/A187)*'Device Selection'!$G$14 + ((E187/A187-'Device Selection'!$B$15)/(6*B187))*('Device Selection'!$G$12+'Device Selection'!$G$13)</f>
        <v>87.918781728797242</v>
      </c>
      <c r="H187" s="55" t="str">
        <f>IF(AND(C187*(1+'Device Selection'!$B$8)&lt;='Device Selection'!$G$4,D187*(1+'Device Selection'!$B$9)/B187&lt;='Device Selection'!$G$5,G187&lt;='Device Selection'!$B$11),"OK","")</f>
        <v>OK</v>
      </c>
    </row>
    <row r="188" spans="1:8">
      <c r="A188" s="43">
        <v>19</v>
      </c>
      <c r="B188" s="43">
        <v>5</v>
      </c>
      <c r="C188" s="44">
        <f>'Device Selection'!$B$4/A188</f>
        <v>63.157894736842103</v>
      </c>
      <c r="D188" s="44">
        <f>'Device Selection'!$B$5*1000/A188/(SQRT(3)*('Device Selection'!$B$7*(C188)/SQRT(2))*'Device Selection'!$B$6)</f>
        <v>214.86752129677004</v>
      </c>
      <c r="E188" s="44">
        <f>A188*3*D188^2*('Device Selection'!$G$6/1000)/B188+A188*6*(('Device Selection'!$G$7+'Device Selection'!$G$8)/1000)*(C188/'Device Selection'!$G$9)*(D188/'Device Selection'!$G$10)*('Device Selection'!$G$11*1000)+A188*'Device Selection'!$B$15</f>
        <v>5725.6712540419103</v>
      </c>
      <c r="F188" s="45">
        <f>'Device Selection'!$B$5/('Device Selection'!$B$5+E188/1000)</f>
        <v>0.98127186627620755</v>
      </c>
      <c r="G188" s="44">
        <f>'Device Selection'!$B$10 + (E188/A188)*'Device Selection'!$G$14 + ((E188/A188-'Device Selection'!$B$15)/(6*B188))*('Device Selection'!$G$12+'Device Selection'!$G$13)</f>
        <v>85.871158914712666</v>
      </c>
      <c r="H188" s="55" t="str">
        <f>IF(AND(C188*(1+'Device Selection'!$B$8)&lt;='Device Selection'!$G$4,D188*(1+'Device Selection'!$B$9)/B188&lt;='Device Selection'!$G$5,G188&lt;='Device Selection'!$B$11),"OK","")</f>
        <v>OK</v>
      </c>
    </row>
    <row r="189" spans="1:8">
      <c r="A189" s="43">
        <v>19</v>
      </c>
      <c r="B189" s="43">
        <v>6</v>
      </c>
      <c r="C189" s="44">
        <f>'Device Selection'!$B$4/A189</f>
        <v>63.157894736842103</v>
      </c>
      <c r="D189" s="44">
        <f>'Device Selection'!$B$5*1000/A189/(SQRT(3)*('Device Selection'!$B$7*(C189)/SQRT(2))*'Device Selection'!$B$6)</f>
        <v>214.86752129677004</v>
      </c>
      <c r="E189" s="44">
        <f>A189*3*D189^2*('Device Selection'!$G$6/1000)/B189+A189*6*(('Device Selection'!$G$7+'Device Selection'!$G$8)/1000)*(C189/'Device Selection'!$G$9)*(D189/'Device Selection'!$G$10)*('Device Selection'!$G$11*1000)+A189*'Device Selection'!$B$15</f>
        <v>5287.0747628138397</v>
      </c>
      <c r="F189" s="45">
        <f>'Device Selection'!$B$5/('Device Selection'!$B$5+E189/1000)</f>
        <v>0.98268162919468005</v>
      </c>
      <c r="G189" s="44">
        <f>'Device Selection'!$B$10 + (E189/A189)*'Device Selection'!$G$14 + ((E189/A189-'Device Selection'!$B$15)/(6*B189))*('Device Selection'!$G$12+'Device Selection'!$G$13)</f>
        <v>84.531725956271956</v>
      </c>
      <c r="H189" s="55" t="str">
        <f>IF(AND(C189*(1+'Device Selection'!$B$8)&lt;='Device Selection'!$G$4,D189*(1+'Device Selection'!$B$9)/B189&lt;='Device Selection'!$G$5,G189&lt;='Device Selection'!$B$11),"OK","")</f>
        <v>OK</v>
      </c>
    </row>
    <row r="190" spans="1:8">
      <c r="A190" s="43">
        <v>19</v>
      </c>
      <c r="B190" s="43">
        <v>7</v>
      </c>
      <c r="C190" s="44">
        <f>'Device Selection'!$B$4/A190</f>
        <v>63.157894736842103</v>
      </c>
      <c r="D190" s="44">
        <f>'Device Selection'!$B$5*1000/A190/(SQRT(3)*('Device Selection'!$B$7*(C190)/SQRT(2))*'Device Selection'!$B$6)</f>
        <v>214.86752129677004</v>
      </c>
      <c r="E190" s="44">
        <f>A190*3*D190^2*('Device Selection'!$G$6/1000)/B190+A190*6*(('Device Selection'!$G$7+'Device Selection'!$G$8)/1000)*(C190/'Device Selection'!$G$9)*(D190/'Device Selection'!$G$10)*('Device Selection'!$G$11*1000)+A190*'Device Selection'!$B$15</f>
        <v>4973.7915547937901</v>
      </c>
      <c r="F190" s="45">
        <f>'Device Selection'!$B$5/('Device Selection'!$B$5+E190/1000)</f>
        <v>0.98369108529150406</v>
      </c>
      <c r="G190" s="44">
        <f>'Device Selection'!$B$10 + (E190/A190)*'Device Selection'!$G$14 + ((E190/A190-'Device Selection'!$B$15)/(6*B190))*('Device Selection'!$G$12+'Device Selection'!$G$13)</f>
        <v>83.587550863973007</v>
      </c>
      <c r="H190" s="55" t="str">
        <f>IF(AND(C190*(1+'Device Selection'!$B$8)&lt;='Device Selection'!$G$4,D190*(1+'Device Selection'!$B$9)/B190&lt;='Device Selection'!$G$5,G190&lt;='Device Selection'!$B$11),"OK","")</f>
        <v>OK</v>
      </c>
    </row>
    <row r="191" spans="1:8">
      <c r="A191" s="43">
        <v>19</v>
      </c>
      <c r="B191" s="43">
        <v>8</v>
      </c>
      <c r="C191" s="44">
        <f>'Device Selection'!$B$4/A191</f>
        <v>63.157894736842103</v>
      </c>
      <c r="D191" s="44">
        <f>'Device Selection'!$B$5*1000/A191/(SQRT(3)*('Device Selection'!$B$7*(C191)/SQRT(2))*'Device Selection'!$B$6)</f>
        <v>214.86752129677004</v>
      </c>
      <c r="E191" s="44">
        <f>A191*3*D191^2*('Device Selection'!$G$6/1000)/B191+A191*6*(('Device Selection'!$G$7+'Device Selection'!$G$8)/1000)*(C191/'Device Selection'!$G$9)*(D191/'Device Selection'!$G$10)*('Device Selection'!$G$11*1000)+A191*'Device Selection'!$B$15</f>
        <v>4738.8291487787519</v>
      </c>
      <c r="F191" s="45">
        <f>'Device Selection'!$B$5/('Device Selection'!$B$5+E191/1000)</f>
        <v>0.98444953942359226</v>
      </c>
      <c r="G191" s="44">
        <f>'Device Selection'!$B$10 + (E191/A191)*'Device Selection'!$G$14 + ((E191/A191-'Device Selection'!$B$15)/(6*B191))*('Device Selection'!$G$12+'Device Selection'!$G$13)</f>
        <v>82.886289790538711</v>
      </c>
      <c r="H191" s="55" t="str">
        <f>IF(AND(C191*(1+'Device Selection'!$B$8)&lt;='Device Selection'!$G$4,D191*(1+'Device Selection'!$B$9)/B191&lt;='Device Selection'!$G$5,G191&lt;='Device Selection'!$B$11),"OK","")</f>
        <v>OK</v>
      </c>
    </row>
    <row r="192" spans="1:8">
      <c r="A192" s="43">
        <v>19</v>
      </c>
      <c r="B192" s="43">
        <v>9</v>
      </c>
      <c r="C192" s="44">
        <f>'Device Selection'!$B$4/A192</f>
        <v>63.157894736842103</v>
      </c>
      <c r="D192" s="44">
        <f>'Device Selection'!$B$5*1000/A192/(SQRT(3)*('Device Selection'!$B$7*(C192)/SQRT(2))*'Device Selection'!$B$6)</f>
        <v>214.86752129677004</v>
      </c>
      <c r="E192" s="44">
        <f>A192*3*D192^2*('Device Selection'!$G$6/1000)/B192+A192*6*(('Device Selection'!$G$7+'Device Selection'!$G$8)/1000)*(C192/'Device Selection'!$G$9)*(D192/'Device Selection'!$G$10)*('Device Selection'!$G$11*1000)+A192*'Device Selection'!$B$15</f>
        <v>4556.080610767056</v>
      </c>
      <c r="F192" s="45">
        <f>'Device Selection'!$B$5/('Device Selection'!$B$5+E192/1000)</f>
        <v>0.98504025727665601</v>
      </c>
      <c r="G192" s="44">
        <f>'Device Selection'!$B$10 + (E192/A192)*'Device Selection'!$G$14 + ((E192/A192-'Device Selection'!$B$15)/(6*B192))*('Device Selection'!$G$12+'Device Selection'!$G$13)</f>
        <v>82.34493576796531</v>
      </c>
      <c r="H192" s="55" t="str">
        <f>IF(AND(C192*(1+'Device Selection'!$B$8)&lt;='Device Selection'!$G$4,D192*(1+'Device Selection'!$B$9)/B192&lt;='Device Selection'!$G$5,G192&lt;='Device Selection'!$B$11),"OK","")</f>
        <v>OK</v>
      </c>
    </row>
    <row r="193" spans="1:8">
      <c r="A193" s="43">
        <v>19</v>
      </c>
      <c r="B193" s="43">
        <v>10</v>
      </c>
      <c r="C193" s="44">
        <f>'Device Selection'!$B$4/A193</f>
        <v>63.157894736842103</v>
      </c>
      <c r="D193" s="44">
        <f>'Device Selection'!$B$5*1000/A193/(SQRT(3)*('Device Selection'!$B$7*(C193)/SQRT(2))*'Device Selection'!$B$6)</f>
        <v>214.86752129677004</v>
      </c>
      <c r="E193" s="44">
        <f>A193*3*D193^2*('Device Selection'!$G$6/1000)/B193+A193*6*(('Device Selection'!$G$7+'Device Selection'!$G$8)/1000)*(C193/'Device Selection'!$G$9)*(D193/'Device Selection'!$G$10)*('Device Selection'!$G$11*1000)+A193*'Device Selection'!$B$15</f>
        <v>4409.8817803576994</v>
      </c>
      <c r="F193" s="45">
        <f>'Device Selection'!$B$5/('Device Selection'!$B$5+E193/1000)</f>
        <v>0.98551334222605957</v>
      </c>
      <c r="G193" s="44">
        <f>'Device Selection'!$B$10 + (E193/A193)*'Device Selection'!$G$14 + ((E193/A193-'Device Selection'!$B$15)/(6*B193))*('Device Selection'!$G$12+'Device Selection'!$G$13)</f>
        <v>81.914417441668178</v>
      </c>
      <c r="H193" s="55" t="str">
        <f>IF(AND(C193*(1+'Device Selection'!$B$8)&lt;='Device Selection'!$G$4,D193*(1+'Device Selection'!$B$9)/B193&lt;='Device Selection'!$G$5,G193&lt;='Device Selection'!$B$11),"OK","")</f>
        <v>OK</v>
      </c>
    </row>
    <row r="194" spans="1:8">
      <c r="A194" s="43">
        <v>20</v>
      </c>
      <c r="B194" s="43">
        <v>1</v>
      </c>
      <c r="C194" s="44">
        <f>'Device Selection'!$B$4/A194</f>
        <v>60</v>
      </c>
      <c r="D194" s="44">
        <f>'Device Selection'!$B$5*1000/A194/(SQRT(3)*('Device Selection'!$B$7*(C194)/SQRT(2))*'Device Selection'!$B$6)</f>
        <v>214.86752129677004</v>
      </c>
      <c r="E194" s="44">
        <f>A194*3*D194^2*('Device Selection'!$G$6/1000)/B194+A194*6*(('Device Selection'!$G$7+'Device Selection'!$G$8)/1000)*(C194/'Device Selection'!$G$9)*(D194/'Device Selection'!$G$10)*('Device Selection'!$G$11*1000)+A194*'Device Selection'!$B$15</f>
        <v>16944.507819138867</v>
      </c>
      <c r="F194" s="45">
        <f>'Device Selection'!$B$5/('Device Selection'!$B$5+E194/1000)</f>
        <v>0.94653793518703877</v>
      </c>
      <c r="G194" s="44">
        <f>'Device Selection'!$B$10 + (E194/A194)*'Device Selection'!$G$14 + ((E194/A194-'Device Selection'!$B$15)/(6*B194))*('Device Selection'!$G$12+'Device Selection'!$G$13)</f>
        <v>123.65760809393976</v>
      </c>
      <c r="H194" s="55" t="str">
        <f>IF(AND(C194*(1+'Device Selection'!$B$8)&lt;='Device Selection'!$G$4,D194*(1+'Device Selection'!$B$9)/B194&lt;='Device Selection'!$G$5,G194&lt;='Device Selection'!$B$11),"OK","")</f>
        <v/>
      </c>
    </row>
    <row r="195" spans="1:8">
      <c r="A195" s="43">
        <v>20</v>
      </c>
      <c r="B195" s="43">
        <v>2</v>
      </c>
      <c r="C195" s="44">
        <f>'Device Selection'!$B$4/A195</f>
        <v>60</v>
      </c>
      <c r="D195" s="44">
        <f>'Device Selection'!$B$5*1000/A195/(SQRT(3)*('Device Selection'!$B$7*(C195)/SQRT(2))*'Device Selection'!$B$6)</f>
        <v>214.86752129677004</v>
      </c>
      <c r="E195" s="44">
        <f>A195*3*D195^2*('Device Selection'!$G$6/1000)/B195+A195*6*(('Device Selection'!$G$7+'Device Selection'!$G$8)/1000)*(C195/'Device Selection'!$G$9)*(D195/'Device Selection'!$G$10)*('Device Selection'!$G$11*1000)+A195*'Device Selection'!$B$15</f>
        <v>10019.300062906179</v>
      </c>
      <c r="F195" s="45">
        <f>'Device Selection'!$B$5/('Device Selection'!$B$5+E195/1000)</f>
        <v>0.96768168929846266</v>
      </c>
      <c r="G195" s="44">
        <f>'Device Selection'!$B$10 + (E195/A195)*'Device Selection'!$G$14 + ((E195/A195-'Device Selection'!$B$15)/(6*B195))*('Device Selection'!$G$12+'Device Selection'!$G$13)</f>
        <v>98.388016844900832</v>
      </c>
      <c r="H195" s="55" t="str">
        <f>IF(AND(C195*(1+'Device Selection'!$B$8)&lt;='Device Selection'!$G$4,D195*(1+'Device Selection'!$B$9)/B195&lt;='Device Selection'!$G$5,G195&lt;='Device Selection'!$B$11),"OK","")</f>
        <v/>
      </c>
    </row>
    <row r="196" spans="1:8">
      <c r="A196" s="43">
        <v>20</v>
      </c>
      <c r="B196" s="43">
        <v>3</v>
      </c>
      <c r="C196" s="44">
        <f>'Device Selection'!$B$4/A196</f>
        <v>60</v>
      </c>
      <c r="D196" s="44">
        <f>'Device Selection'!$B$5*1000/A196/(SQRT(3)*('Device Selection'!$B$7*(C196)/SQRT(2))*'Device Selection'!$B$6)</f>
        <v>214.86752129677004</v>
      </c>
      <c r="E196" s="44">
        <f>A196*3*D196^2*('Device Selection'!$G$6/1000)/B196+A196*6*(('Device Selection'!$G$7+'Device Selection'!$G$8)/1000)*(C196/'Device Selection'!$G$9)*(D196/'Device Selection'!$G$10)*('Device Selection'!$G$11*1000)+A196*'Device Selection'!$B$15</f>
        <v>7710.8974774952812</v>
      </c>
      <c r="F196" s="45">
        <f>'Device Selection'!$B$5/('Device Selection'!$B$5+E196/1000)</f>
        <v>0.97494109717690702</v>
      </c>
      <c r="G196" s="44">
        <f>'Device Selection'!$B$10 + (E196/A196)*'Device Selection'!$G$14 + ((E196/A196-'Device Selection'!$B$15)/(6*B196))*('Device Selection'!$G$12+'Device Selection'!$G$13)</f>
        <v>90.99077646651493</v>
      </c>
      <c r="H196" s="55" t="str">
        <f>IF(AND(C196*(1+'Device Selection'!$B$8)&lt;='Device Selection'!$G$4,D196*(1+'Device Selection'!$B$9)/B196&lt;='Device Selection'!$G$5,G196&lt;='Device Selection'!$B$11),"OK","")</f>
        <v>OK</v>
      </c>
    </row>
    <row r="197" spans="1:8">
      <c r="A197" s="43">
        <v>20</v>
      </c>
      <c r="B197" s="43">
        <v>4</v>
      </c>
      <c r="C197" s="44">
        <f>'Device Selection'!$B$4/A197</f>
        <v>60</v>
      </c>
      <c r="D197" s="44">
        <f>'Device Selection'!$B$5*1000/A197/(SQRT(3)*('Device Selection'!$B$7*(C197)/SQRT(2))*'Device Selection'!$B$6)</f>
        <v>214.86752129677004</v>
      </c>
      <c r="E197" s="44">
        <f>A197*3*D197^2*('Device Selection'!$G$6/1000)/B197+A197*6*(('Device Selection'!$G$7+'Device Selection'!$G$8)/1000)*(C197/'Device Selection'!$G$9)*(D197/'Device Selection'!$G$10)*('Device Selection'!$G$11*1000)+A197*'Device Selection'!$B$15</f>
        <v>6556.6961847898328</v>
      </c>
      <c r="F197" s="45">
        <f>'Device Selection'!$B$5/('Device Selection'!$B$5+E197/1000)</f>
        <v>0.97861179916671115</v>
      </c>
      <c r="G197" s="44">
        <f>'Device Selection'!$B$10 + (E197/A197)*'Device Selection'!$G$14 + ((E197/A197-'Device Selection'!$B$15)/(6*B197))*('Device Selection'!$G$12+'Device Selection'!$G$13)</f>
        <v>87.484523159439547</v>
      </c>
      <c r="H197" s="55" t="str">
        <f>IF(AND(C197*(1+'Device Selection'!$B$8)&lt;='Device Selection'!$G$4,D197*(1+'Device Selection'!$B$9)/B197&lt;='Device Selection'!$G$5,G197&lt;='Device Selection'!$B$11),"OK","")</f>
        <v>OK</v>
      </c>
    </row>
    <row r="198" spans="1:8">
      <c r="A198" s="43">
        <v>20</v>
      </c>
      <c r="B198" s="43">
        <v>5</v>
      </c>
      <c r="C198" s="44">
        <f>'Device Selection'!$B$4/A198</f>
        <v>60</v>
      </c>
      <c r="D198" s="44">
        <f>'Device Selection'!$B$5*1000/A198/(SQRT(3)*('Device Selection'!$B$7*(C198)/SQRT(2))*'Device Selection'!$B$6)</f>
        <v>214.86752129677004</v>
      </c>
      <c r="E198" s="44">
        <f>A198*3*D198^2*('Device Selection'!$G$6/1000)/B198+A198*6*(('Device Selection'!$G$7+'Device Selection'!$G$8)/1000)*(C198/'Device Selection'!$G$9)*(D198/'Device Selection'!$G$10)*('Device Selection'!$G$11*1000)+A198*'Device Selection'!$B$15</f>
        <v>5864.1754091665644</v>
      </c>
      <c r="F198" s="45">
        <f>'Device Selection'!$B$5/('Device Selection'!$B$5+E198/1000)</f>
        <v>0.98082751796178202</v>
      </c>
      <c r="G198" s="44">
        <f>'Device Selection'!$B$10 + (E198/A198)*'Device Selection'!$G$14 + ((E198/A198-'Device Selection'!$B$15)/(6*B198))*('Device Selection'!$G$12+'Device Selection'!$G$13)</f>
        <v>85.442328577471955</v>
      </c>
      <c r="H198" s="55" t="str">
        <f>IF(AND(C198*(1+'Device Selection'!$B$8)&lt;='Device Selection'!$G$4,D198*(1+'Device Selection'!$B$9)/B198&lt;='Device Selection'!$G$5,G198&lt;='Device Selection'!$B$11),"OK","")</f>
        <v>OK</v>
      </c>
    </row>
    <row r="199" spans="1:8">
      <c r="A199" s="43">
        <v>20</v>
      </c>
      <c r="B199" s="43">
        <v>6</v>
      </c>
      <c r="C199" s="44">
        <f>'Device Selection'!$B$4/A199</f>
        <v>60</v>
      </c>
      <c r="D199" s="44">
        <f>'Device Selection'!$B$5*1000/A199/(SQRT(3)*('Device Selection'!$B$7*(C199)/SQRT(2))*'Device Selection'!$B$6)</f>
        <v>214.86752129677004</v>
      </c>
      <c r="E199" s="44">
        <f>A199*3*D199^2*('Device Selection'!$G$6/1000)/B199+A199*6*(('Device Selection'!$G$7+'Device Selection'!$G$8)/1000)*(C199/'Device Selection'!$G$9)*(D199/'Device Selection'!$G$10)*('Device Selection'!$G$11*1000)+A199*'Device Selection'!$B$15</f>
        <v>5402.4948920843854</v>
      </c>
      <c r="F199" s="45">
        <f>'Device Selection'!$B$5/('Device Selection'!$B$5+E199/1000)</f>
        <v>0.98231024637178088</v>
      </c>
      <c r="G199" s="44">
        <f>'Device Selection'!$B$10 + (E199/A199)*'Device Selection'!$G$14 + ((E199/A199-'Device Selection'!$B$15)/(6*B199))*('Device Selection'!$G$12+'Device Selection'!$G$13)</f>
        <v>84.106514440442552</v>
      </c>
      <c r="H199" s="55" t="str">
        <f>IF(AND(C199*(1+'Device Selection'!$B$8)&lt;='Device Selection'!$G$4,D199*(1+'Device Selection'!$B$9)/B199&lt;='Device Selection'!$G$5,G199&lt;='Device Selection'!$B$11),"OK","")</f>
        <v>OK</v>
      </c>
    </row>
    <row r="200" spans="1:8">
      <c r="A200" s="43">
        <v>20</v>
      </c>
      <c r="B200" s="43">
        <v>7</v>
      </c>
      <c r="C200" s="44">
        <f>'Device Selection'!$B$4/A200</f>
        <v>60</v>
      </c>
      <c r="D200" s="44">
        <f>'Device Selection'!$B$5*1000/A200/(SQRT(3)*('Device Selection'!$B$7*(C200)/SQRT(2))*'Device Selection'!$B$6)</f>
        <v>214.86752129677004</v>
      </c>
      <c r="E200" s="44">
        <f>A200*3*D200^2*('Device Selection'!$G$6/1000)/B200+A200*6*(('Device Selection'!$G$7+'Device Selection'!$G$8)/1000)*(C200/'Device Selection'!$G$9)*(D200/'Device Selection'!$G$10)*('Device Selection'!$G$11*1000)+A200*'Device Selection'!$B$15</f>
        <v>5072.723094168543</v>
      </c>
      <c r="F200" s="45">
        <f>'Device Selection'!$B$5/('Device Selection'!$B$5+E200/1000)</f>
        <v>0.98337208570232371</v>
      </c>
      <c r="G200" s="44">
        <f>'Device Selection'!$B$10 + (E200/A200)*'Device Selection'!$G$14 + ((E200/A200-'Device Selection'!$B$15)/(6*B200))*('Device Selection'!$G$12+'Device Selection'!$G$13)</f>
        <v>83.164924220580261</v>
      </c>
      <c r="H200" s="55" t="str">
        <f>IF(AND(C200*(1+'Device Selection'!$B$8)&lt;='Device Selection'!$G$4,D200*(1+'Device Selection'!$B$9)/B200&lt;='Device Selection'!$G$5,G200&lt;='Device Selection'!$B$11),"OK","")</f>
        <v>OK</v>
      </c>
    </row>
    <row r="201" spans="1:8">
      <c r="A201" s="43">
        <v>20</v>
      </c>
      <c r="B201" s="43">
        <v>8</v>
      </c>
      <c r="C201" s="44">
        <f>'Device Selection'!$B$4/A201</f>
        <v>60</v>
      </c>
      <c r="D201" s="44">
        <f>'Device Selection'!$B$5*1000/A201/(SQRT(3)*('Device Selection'!$B$7*(C201)/SQRT(2))*'Device Selection'!$B$6)</f>
        <v>214.86752129677004</v>
      </c>
      <c r="E201" s="44">
        <f>A201*3*D201^2*('Device Selection'!$G$6/1000)/B201+A201*6*(('Device Selection'!$G$7+'Device Selection'!$G$8)/1000)*(C201/'Device Selection'!$G$9)*(D201/'Device Selection'!$G$10)*('Device Selection'!$G$11*1000)+A201*'Device Selection'!$B$15</f>
        <v>4825.3942457316607</v>
      </c>
      <c r="F201" s="45">
        <f>'Device Selection'!$B$5/('Device Selection'!$B$5+E201/1000)</f>
        <v>0.9841699729195077</v>
      </c>
      <c r="G201" s="44">
        <f>'Device Selection'!$B$10 + (E201/A201)*'Device Selection'!$G$14 + ((E201/A201-'Device Selection'!$B$15)/(6*B201))*('Device Selection'!$G$12+'Device Selection'!$G$13)</f>
        <v>82.465601801473454</v>
      </c>
      <c r="H201" s="55" t="str">
        <f>IF(AND(C201*(1+'Device Selection'!$B$8)&lt;='Device Selection'!$G$4,D201*(1+'Device Selection'!$B$9)/B201&lt;='Device Selection'!$G$5,G201&lt;='Device Selection'!$B$11),"OK","")</f>
        <v>OK</v>
      </c>
    </row>
    <row r="202" spans="1:8">
      <c r="A202" s="43">
        <v>20</v>
      </c>
      <c r="B202" s="43">
        <v>9</v>
      </c>
      <c r="C202" s="44">
        <f>'Device Selection'!$B$4/A202</f>
        <v>60</v>
      </c>
      <c r="D202" s="44">
        <f>'Device Selection'!$B$5*1000/A202/(SQRT(3)*('Device Selection'!$B$7*(C202)/SQRT(2))*'Device Selection'!$B$6)</f>
        <v>214.86752129677004</v>
      </c>
      <c r="E202" s="44">
        <f>A202*3*D202^2*('Device Selection'!$G$6/1000)/B202+A202*6*(('Device Selection'!$G$7+'Device Selection'!$G$8)/1000)*(C202/'Device Selection'!$G$9)*(D202/'Device Selection'!$G$10)*('Device Selection'!$G$11*1000)+A202*'Device Selection'!$B$15</f>
        <v>4633.0273636140864</v>
      </c>
      <c r="F202" s="45">
        <f>'Device Selection'!$B$5/('Device Selection'!$B$5+E202/1000)</f>
        <v>0.98479144758626569</v>
      </c>
      <c r="G202" s="44">
        <f>'Device Selection'!$B$10 + (E202/A202)*'Device Selection'!$G$14 + ((E202/A202-'Device Selection'!$B$15)/(6*B202))*('Device Selection'!$G$12+'Device Selection'!$G$13)</f>
        <v>81.925755621154778</v>
      </c>
      <c r="H202" s="55" t="str">
        <f>IF(AND(C202*(1+'Device Selection'!$B$8)&lt;='Device Selection'!$G$4,D202*(1+'Device Selection'!$B$9)/B202&lt;='Device Selection'!$G$5,G202&lt;='Device Selection'!$B$11),"OK","")</f>
        <v>OK</v>
      </c>
    </row>
    <row r="203" spans="1:8">
      <c r="A203" s="43">
        <v>20</v>
      </c>
      <c r="B203" s="43">
        <v>10</v>
      </c>
      <c r="C203" s="44">
        <f>'Device Selection'!$B$4/A203</f>
        <v>60</v>
      </c>
      <c r="D203" s="44">
        <f>'Device Selection'!$B$5*1000/A203/(SQRT(3)*('Device Selection'!$B$7*(C203)/SQRT(2))*'Device Selection'!$B$6)</f>
        <v>214.86752129677004</v>
      </c>
      <c r="E203" s="44">
        <f>A203*3*D203^2*('Device Selection'!$G$6/1000)/B203+A203*6*(('Device Selection'!$G$7+'Device Selection'!$G$8)/1000)*(C203/'Device Selection'!$G$9)*(D203/'Device Selection'!$G$10)*('Device Selection'!$G$11*1000)+A203*'Device Selection'!$B$15</f>
        <v>4479.1338579200265</v>
      </c>
      <c r="F203" s="45">
        <f>'Device Selection'!$B$5/('Device Selection'!$B$5+E203/1000)</f>
        <v>0.98528919272343263</v>
      </c>
      <c r="G203" s="44">
        <f>'Device Selection'!$B$10 + (E203/A203)*'Device Selection'!$G$14 + ((E203/A203-'Device Selection'!$B$15)/(6*B203))*('Device Selection'!$G$12+'Device Selection'!$G$13)</f>
        <v>81.496443568661405</v>
      </c>
      <c r="H203" s="55" t="str">
        <f>IF(AND(C203*(1+'Device Selection'!$B$8)&lt;='Device Selection'!$G$4,D203*(1+'Device Selection'!$B$9)/B203&lt;='Device Selection'!$G$5,G203&lt;='Device Selection'!$B$11),"OK","")</f>
        <v>OK</v>
      </c>
    </row>
  </sheetData>
  <mergeCells count="1">
    <mergeCell ref="A1:H1"/>
  </mergeCells>
  <conditionalFormatting sqref="H4:H203">
    <cfRule type="expression" dxfId="0" priority="1">
      <formula>H4="OK"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SPB Loss Calculator</vt:lpstr>
      <vt:lpstr>Sensitivity</vt:lpstr>
      <vt:lpstr>Assumptions &amp; Notes</vt:lpstr>
      <vt:lpstr>Device Selection</vt:lpstr>
      <vt:lpstr>Selection Sweep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Ayaz</dc:creator>
  <cp:lastModifiedBy>Enes Ayaz</cp:lastModifiedBy>
  <dcterms:modified xsi:type="dcterms:W3CDTF">2026-07-08T08:48:20Z</dcterms:modified>
</cp:coreProperties>
</file>