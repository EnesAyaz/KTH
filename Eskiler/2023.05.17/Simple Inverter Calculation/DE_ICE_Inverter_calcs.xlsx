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/>
  <mc:AlternateContent xmlns:mc="http://schemas.openxmlformats.org/markup-compatibility/2006">
    <mc:Choice Requires="x15">
      <x15ac:absPath xmlns:x15ac="http://schemas.microsoft.com/office/spreadsheetml/2010/11/ac" url="D:\Github\KTH\Simple Inverter Calculation\"/>
    </mc:Choice>
  </mc:AlternateContent>
  <xr:revisionPtr revIDLastSave="0" documentId="13_ncr:1_{BAC5B6C5-F2FF-45C0-BDEB-ABE536649A94}" xr6:coauthVersionLast="36" xr6:coauthVersionMax="47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Inverter calc 1200 V" sheetId="2" r:id="rId1"/>
    <sheet name="Inverter calc 1700 V" sheetId="1" r:id="rId2"/>
  </sheets>
  <calcPr calcId="191028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E4" i="2"/>
  <c r="E5" i="2"/>
  <c r="T5" i="2"/>
  <c r="E6" i="2"/>
  <c r="E8" i="2"/>
  <c r="E25" i="2" s="1"/>
  <c r="E9" i="2"/>
  <c r="M9" i="2"/>
  <c r="N9" i="2"/>
  <c r="E7" i="2" s="1"/>
  <c r="E11" i="2"/>
  <c r="M11" i="2"/>
  <c r="N11" i="2"/>
  <c r="M12" i="2"/>
  <c r="M13" i="2" s="1"/>
  <c r="N12" i="2"/>
  <c r="N13" i="2" s="1"/>
  <c r="M14" i="2"/>
  <c r="N14" i="2"/>
  <c r="N15" i="2"/>
  <c r="E18" i="2"/>
  <c r="F18" i="2"/>
  <c r="G18" i="2"/>
  <c r="G19" i="2" s="1"/>
  <c r="G20" i="2" s="1"/>
  <c r="G21" i="2" s="1"/>
  <c r="H18" i="2"/>
  <c r="E19" i="2"/>
  <c r="F19" i="2"/>
  <c r="H19" i="2"/>
  <c r="E20" i="2"/>
  <c r="F20" i="2"/>
  <c r="H20" i="2"/>
  <c r="F21" i="2"/>
  <c r="H21" i="2"/>
  <c r="F25" i="2"/>
  <c r="G25" i="2"/>
  <c r="H25" i="2"/>
  <c r="E34" i="2"/>
  <c r="F34" i="2"/>
  <c r="G34" i="2"/>
  <c r="G35" i="2" s="1"/>
  <c r="H34" i="2"/>
  <c r="E35" i="2"/>
  <c r="F35" i="2"/>
  <c r="H35" i="2"/>
  <c r="H34" i="1"/>
  <c r="H35" i="1" s="1"/>
  <c r="G34" i="1"/>
  <c r="G35" i="1" s="1"/>
  <c r="F34" i="1"/>
  <c r="F35" i="1" s="1"/>
  <c r="E34" i="1"/>
  <c r="E35" i="1" s="1"/>
  <c r="H18" i="1"/>
  <c r="H19" i="1" s="1"/>
  <c r="H20" i="1" s="1"/>
  <c r="G18" i="1"/>
  <c r="G19" i="1" s="1"/>
  <c r="G20" i="1" s="1"/>
  <c r="F18" i="1"/>
  <c r="F19" i="1" s="1"/>
  <c r="F20" i="1" s="1"/>
  <c r="E18" i="1"/>
  <c r="E19" i="1" s="1"/>
  <c r="E20" i="1" s="1"/>
  <c r="N12" i="1"/>
  <c r="M12" i="1"/>
  <c r="M15" i="1" s="1"/>
  <c r="N11" i="1"/>
  <c r="M11" i="1"/>
  <c r="N9" i="1"/>
  <c r="M9" i="1"/>
  <c r="E9" i="1"/>
  <c r="E11" i="1" s="1"/>
  <c r="E8" i="1"/>
  <c r="E7" i="1"/>
  <c r="T5" i="1"/>
  <c r="E5" i="1"/>
  <c r="E4" i="1"/>
  <c r="F25" i="1" l="1"/>
  <c r="G25" i="1"/>
  <c r="N13" i="1"/>
  <c r="N15" i="1"/>
  <c r="T15" i="1" s="1"/>
  <c r="E21" i="1"/>
  <c r="F21" i="1"/>
  <c r="G21" i="1"/>
  <c r="H21" i="1"/>
  <c r="T14" i="2"/>
  <c r="E21" i="2"/>
  <c r="M15" i="2"/>
  <c r="T15" i="2" s="1"/>
  <c r="H25" i="1"/>
  <c r="M13" i="1"/>
  <c r="E25" i="1"/>
  <c r="M14" i="1"/>
  <c r="N14" i="1"/>
  <c r="T14" i="1" l="1"/>
  <c r="E23" i="2"/>
  <c r="F23" i="2"/>
  <c r="G23" i="2"/>
  <c r="H23" i="2"/>
  <c r="E24" i="2"/>
  <c r="F24" i="2"/>
  <c r="G24" i="2"/>
  <c r="H24" i="2"/>
  <c r="E26" i="2"/>
  <c r="F26" i="2"/>
  <c r="G26" i="2"/>
  <c r="H26" i="2"/>
  <c r="E27" i="2"/>
  <c r="F27" i="2"/>
  <c r="G27" i="2"/>
  <c r="H27" i="2"/>
  <c r="E28" i="2"/>
  <c r="F28" i="2"/>
  <c r="G28" i="2"/>
  <c r="H28" i="2"/>
  <c r="E29" i="2"/>
  <c r="F29" i="2"/>
  <c r="G29" i="2"/>
  <c r="H29" i="2"/>
  <c r="E30" i="2"/>
  <c r="F30" i="2"/>
  <c r="G30" i="2"/>
  <c r="H30" i="2"/>
  <c r="E31" i="2"/>
  <c r="F31" i="2"/>
  <c r="G31" i="2"/>
  <c r="H31" i="2"/>
  <c r="E32" i="2"/>
  <c r="F32" i="2"/>
  <c r="G32" i="2"/>
  <c r="H32" i="2"/>
  <c r="E23" i="1"/>
  <c r="F23" i="1"/>
  <c r="G23" i="1"/>
  <c r="H23" i="1"/>
  <c r="E24" i="1"/>
  <c r="F24" i="1"/>
  <c r="G24" i="1"/>
  <c r="H24" i="1"/>
  <c r="E26" i="1"/>
  <c r="F26" i="1"/>
  <c r="G26" i="1"/>
  <c r="H26" i="1"/>
  <c r="E27" i="1"/>
  <c r="F27" i="1"/>
  <c r="G27" i="1"/>
  <c r="H27" i="1"/>
  <c r="E28" i="1"/>
  <c r="F28" i="1"/>
  <c r="G28" i="1"/>
  <c r="H28" i="1"/>
  <c r="E29" i="1"/>
  <c r="F29" i="1"/>
  <c r="G29" i="1"/>
  <c r="H29" i="1"/>
  <c r="E30" i="1"/>
  <c r="F30" i="1"/>
  <c r="G30" i="1"/>
  <c r="H30" i="1"/>
  <c r="E31" i="1"/>
  <c r="F31" i="1"/>
  <c r="G31" i="1"/>
  <c r="H31" i="1"/>
  <c r="E32" i="1"/>
  <c r="F32" i="1"/>
  <c r="G32" i="1"/>
  <c r="H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Staffan Norrga</author>
  </authors>
  <commentList>
    <comment ref="E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MOSFET blocking voltage</t>
        </r>
      </text>
    </comment>
    <comment ref="E1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Max modulation index
(with ZS injection)</t>
        </r>
      </text>
    </comment>
    <comment ref="E1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Max power for one e-Axle (not likely rating for one inverter)</t>
        </r>
      </text>
    </comment>
    <comment ref="F1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Max power for one motor (2 motor per axle) OUR BASE CASE
</t>
        </r>
      </text>
    </comment>
    <comment ref="G1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1/3 of max power per motor</t>
        </r>
      </text>
    </comment>
    <comment ref="H16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Scania suggested power increment</t>
        </r>
      </text>
    </comment>
    <comment ref="E17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power for one e-Axle
</t>
        </r>
      </text>
    </comment>
    <comment ref="F17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power for one motor
</t>
        </r>
      </text>
    </comment>
    <comment ref="H17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scania's increment
</t>
        </r>
      </text>
    </comment>
    <comment ref="B2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Rough indication of the number of chips based on the rated current</t>
        </r>
      </text>
    </comment>
    <comment ref="B24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Onstate resistance of module with Nchips chips @100C</t>
        </r>
      </text>
    </comment>
    <comment ref="B25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Thermal resistance of module j-c  with Nchips chips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Staffan Norrga</author>
  </authors>
  <commentList>
    <comment ref="E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MOSFET blocking voltage</t>
        </r>
      </text>
    </comment>
    <comment ref="E1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Max modulation index
(with ZS injection)</t>
        </r>
      </text>
    </comment>
    <comment ref="E1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Max power for one e-Axle (not likely rating for one inverter)</t>
        </r>
      </text>
    </comment>
    <comment ref="F1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Max power for one motor (2 motor per axle) OUR BASE CASE
</t>
        </r>
      </text>
    </comment>
    <comment ref="G1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1/3 of max power per motor</t>
        </r>
      </text>
    </comment>
    <comment ref="H1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Scania suggested power increment</t>
        </r>
      </text>
    </comment>
    <comment ref="E17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power for one e-Axle
</t>
        </r>
      </text>
    </comment>
    <comment ref="F17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power for one motor
</t>
        </r>
      </text>
    </comment>
    <comment ref="H17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scania's increment
</t>
        </r>
      </text>
    </comment>
    <comment ref="B2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Rough indication of the number of chips based on the rated current</t>
        </r>
      </text>
    </comment>
    <comment ref="B24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Onstate resistance of module with Nchips chips @100C</t>
        </r>
      </text>
    </comment>
    <comment ref="B25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Staffan Norrga:</t>
        </r>
        <r>
          <rPr>
            <sz val="9"/>
            <color indexed="81"/>
            <rFont val="Tahoma"/>
            <family val="2"/>
          </rPr>
          <t xml:space="preserve">
Thermal resistance of module j-c  with Nchips chips
</t>
        </r>
      </text>
    </comment>
  </commentList>
</comments>
</file>

<file path=xl/sharedStrings.xml><?xml version="1.0" encoding="utf-8"?>
<sst xmlns="http://schemas.openxmlformats.org/spreadsheetml/2006/main" count="244" uniqueCount="95">
  <si>
    <t>Simple inverter calculation</t>
  </si>
  <si>
    <t>Data for SiC bare dies (Wolfspeed)</t>
  </si>
  <si>
    <t>Chip</t>
  </si>
  <si>
    <t>CPM2-1200-0025A</t>
  </si>
  <si>
    <t>CPM2-1700-0045A</t>
  </si>
  <si>
    <t>Ratio</t>
  </si>
  <si>
    <t>MOSFET blocking voltage</t>
  </si>
  <si>
    <t>BV</t>
  </si>
  <si>
    <t>V</t>
  </si>
  <si>
    <t>"Gen 2"</t>
  </si>
  <si>
    <t>RDSon25</t>
  </si>
  <si>
    <t>RDSon175</t>
  </si>
  <si>
    <t>Inom</t>
  </si>
  <si>
    <t>A</t>
  </si>
  <si>
    <t>Onstate resistance at 100 C</t>
  </si>
  <si>
    <t>Rdson100</t>
  </si>
  <si>
    <t>mohm</t>
  </si>
  <si>
    <t>Ipk</t>
  </si>
  <si>
    <t>Thermal resistance j-c</t>
  </si>
  <si>
    <t>RthJC</t>
  </si>
  <si>
    <t>K/W</t>
  </si>
  <si>
    <t>Rds0n</t>
  </si>
  <si>
    <t>25 C</t>
  </si>
  <si>
    <t>Chip SOA curent limit</t>
  </si>
  <si>
    <t>I_soa</t>
  </si>
  <si>
    <t>Current margin</t>
  </si>
  <si>
    <t>175 C</t>
  </si>
  <si>
    <t>Chip peak current limit</t>
  </si>
  <si>
    <t>Atot</t>
  </si>
  <si>
    <r>
      <t>mm</t>
    </r>
    <r>
      <rPr>
        <vertAlign val="superscript"/>
        <sz val="11"/>
        <color theme="1"/>
        <rFont val="Calibri"/>
        <family val="2"/>
        <scheme val="minor"/>
      </rPr>
      <t>2</t>
    </r>
  </si>
  <si>
    <t>Cooling medium temp</t>
  </si>
  <si>
    <t>C</t>
  </si>
  <si>
    <t>Aact</t>
  </si>
  <si>
    <t>DC link voltage pole-pole</t>
  </si>
  <si>
    <t>Udnom</t>
  </si>
  <si>
    <t>Aact/Atot</t>
  </si>
  <si>
    <t>-</t>
  </si>
  <si>
    <t>Max modulation index</t>
  </si>
  <si>
    <t>ma</t>
  </si>
  <si>
    <t>rdson</t>
  </si>
  <si>
    <r>
      <t>m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  <scheme val="minor"/>
      </rPr>
      <t>*mm</t>
    </r>
    <r>
      <rPr>
        <vertAlign val="superscript"/>
        <sz val="11"/>
        <color theme="1"/>
        <rFont val="Calibri"/>
        <family val="2"/>
        <scheme val="minor"/>
      </rPr>
      <t>2</t>
    </r>
  </si>
  <si>
    <t>Option</t>
  </si>
  <si>
    <t>Total power</t>
  </si>
  <si>
    <t>P</t>
  </si>
  <si>
    <t>kW</t>
  </si>
  <si>
    <t>AC phase voltage</t>
  </si>
  <si>
    <t>Ua</t>
  </si>
  <si>
    <t>Vrms</t>
  </si>
  <si>
    <t xml:space="preserve">AC phase current </t>
  </si>
  <si>
    <t>Ia</t>
  </si>
  <si>
    <t>Arms</t>
  </si>
  <si>
    <t>AC peak current</t>
  </si>
  <si>
    <t>Iap</t>
  </si>
  <si>
    <t>Apk</t>
  </si>
  <si>
    <t>Req'rd No of chips</t>
  </si>
  <si>
    <t>Nchip1</t>
  </si>
  <si>
    <t>Actual No of chips (Choose!)</t>
  </si>
  <si>
    <t>Nchip</t>
  </si>
  <si>
    <t>Onstate resistance of chip at Tj</t>
  </si>
  <si>
    <t>Rdson,tj</t>
  </si>
  <si>
    <t>mohms</t>
  </si>
  <si>
    <t>Onstate resistance of valve</t>
  </si>
  <si>
    <t>Rdson</t>
  </si>
  <si>
    <t>ohms</t>
  </si>
  <si>
    <t>Thermal res junct-case</t>
  </si>
  <si>
    <t>Computed junction temp</t>
  </si>
  <si>
    <t>Tj</t>
  </si>
  <si>
    <t>Temp diff junct - case</t>
  </si>
  <si>
    <t>deltaT_JC</t>
  </si>
  <si>
    <t>K</t>
  </si>
  <si>
    <t>Conduction losses/chip</t>
  </si>
  <si>
    <t>Pl,chip</t>
  </si>
  <si>
    <t>W</t>
  </si>
  <si>
    <t>Conduction losses/valve</t>
  </si>
  <si>
    <t>Pl,v</t>
  </si>
  <si>
    <t>Total conduction losses</t>
  </si>
  <si>
    <t>Pltot</t>
  </si>
  <si>
    <t>Normalised total losses</t>
  </si>
  <si>
    <t>pltot</t>
  </si>
  <si>
    <t>ppm</t>
  </si>
  <si>
    <t>Efficiency</t>
  </si>
  <si>
    <t>eta</t>
  </si>
  <si>
    <t>Rel cap energy</t>
  </si>
  <si>
    <t>ecap</t>
  </si>
  <si>
    <t>J/kW</t>
  </si>
  <si>
    <t>Capacitor energy</t>
  </si>
  <si>
    <t>Ecap</t>
  </si>
  <si>
    <t>J</t>
  </si>
  <si>
    <t>DC capacitance</t>
  </si>
  <si>
    <t>Cd</t>
  </si>
  <si>
    <t>mF</t>
  </si>
  <si>
    <t>Preconditions:</t>
  </si>
  <si>
    <t>1. Only conduction losses</t>
  </si>
  <si>
    <t>2. No body diode conduction, channel activated (with same Rdson) also in reverse direction</t>
  </si>
  <si>
    <t>3. Only thermal resistance junction-to-case is taken into account assume direct cooling with no Rth,c-hs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</si>
</sst>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40"/>
  <sheetViews>
    <sheetView zoomScale="110" zoomScaleNormal="110" workbookViewId="0">
      <selection activeCell="E4" sqref="E4"/>
    </sheetView>
  </sheetViews>
  <sheetFormatPr defaultRowHeight="15" x14ac:dyDescent="0.25"/>
  <cols>
    <col min="2" max="2" width="27.28515625" customWidth="1"/>
    <col min="3" max="3" width="10.5703125" customWidth="1"/>
    <col min="5" max="5" width="11.7109375" bestFit="1" customWidth="1"/>
    <col min="6" max="7" width="9.7109375" bestFit="1" customWidth="1"/>
    <col min="8" max="8" width="9.85546875" customWidth="1"/>
    <col min="9" max="9" width="4.7109375" style="2" customWidth="1"/>
    <col min="11" max="11" width="6.7109375" customWidth="1"/>
    <col min="12" max="12" width="10.140625" customWidth="1"/>
    <col min="13" max="13" width="16.5703125" customWidth="1"/>
    <col min="14" max="14" width="18" customWidth="1"/>
    <col min="15" max="15" width="11.5703125" bestFit="1" customWidth="1"/>
  </cols>
  <sheetData>
    <row r="1" spans="2:20" x14ac:dyDescent="0.25">
      <c r="B1" s="1" t="s">
        <v>0</v>
      </c>
      <c r="J1" s="1" t="s">
        <v>1</v>
      </c>
    </row>
    <row r="3" spans="2:20" x14ac:dyDescent="0.25">
      <c r="C3" s="3" t="s">
        <v>2</v>
      </c>
      <c r="E3" s="3" t="s">
        <v>3</v>
      </c>
      <c r="M3" s="3" t="s">
        <v>4</v>
      </c>
      <c r="N3" s="3" t="s">
        <v>3</v>
      </c>
      <c r="T3" s="4" t="s">
        <v>5</v>
      </c>
    </row>
    <row r="4" spans="2:20" x14ac:dyDescent="0.25">
      <c r="B4" t="s">
        <v>6</v>
      </c>
      <c r="C4" s="3" t="s">
        <v>7</v>
      </c>
      <c r="D4" s="3" t="s">
        <v>8</v>
      </c>
      <c r="E4" s="3">
        <f>HLOOKUP($E$3,$M$3:$N$16,3,FALSE)</f>
        <v>1200</v>
      </c>
      <c r="H4" s="3"/>
      <c r="M4" s="3" t="s">
        <v>9</v>
      </c>
      <c r="N4" s="3" t="s">
        <v>9</v>
      </c>
      <c r="P4" s="3"/>
      <c r="T4" s="1"/>
    </row>
    <row r="5" spans="2:20" x14ac:dyDescent="0.25">
      <c r="C5" s="3" t="s">
        <v>10</v>
      </c>
      <c r="E5" s="3">
        <f>HLOOKUP($E$3,$M$3:$N$16,6,FALSE)</f>
        <v>25</v>
      </c>
      <c r="G5" s="3"/>
      <c r="J5" s="1" t="s">
        <v>7</v>
      </c>
      <c r="K5" s="1"/>
      <c r="L5" s="1"/>
      <c r="M5" s="4">
        <v>1700</v>
      </c>
      <c r="N5" s="4">
        <v>1200</v>
      </c>
      <c r="P5" s="3"/>
      <c r="T5" s="5">
        <f>M5/N5</f>
        <v>1.4166666666666667</v>
      </c>
    </row>
    <row r="6" spans="2:20" x14ac:dyDescent="0.25">
      <c r="C6" s="3" t="s">
        <v>11</v>
      </c>
      <c r="E6" s="3">
        <f>HLOOKUP($E$3,$M$3:$N$16,8,FALSE)</f>
        <v>43</v>
      </c>
      <c r="J6" t="s">
        <v>12</v>
      </c>
      <c r="L6" s="3" t="s">
        <v>13</v>
      </c>
      <c r="M6" s="3">
        <v>56</v>
      </c>
      <c r="N6" s="3">
        <v>60</v>
      </c>
    </row>
    <row r="7" spans="2:20" x14ac:dyDescent="0.25">
      <c r="B7" t="s">
        <v>14</v>
      </c>
      <c r="C7" s="3" t="s">
        <v>15</v>
      </c>
      <c r="D7" s="3" t="s">
        <v>16</v>
      </c>
      <c r="E7" s="6">
        <f>HLOOKUP($E$3,$M$3:$N$16,7,FALSE)</f>
        <v>37</v>
      </c>
      <c r="J7" t="s">
        <v>17</v>
      </c>
      <c r="L7" s="3" t="s">
        <v>13</v>
      </c>
      <c r="M7" s="3">
        <v>135</v>
      </c>
      <c r="N7" s="3">
        <v>200</v>
      </c>
    </row>
    <row r="8" spans="2:20" x14ac:dyDescent="0.25">
      <c r="B8" t="s">
        <v>18</v>
      </c>
      <c r="C8" s="3" t="s">
        <v>19</v>
      </c>
      <c r="D8" s="3" t="s">
        <v>20</v>
      </c>
      <c r="E8" s="7">
        <f>HLOOKUP($E$3,$M$3:$N$16,14,FALSE)</f>
        <v>0.35</v>
      </c>
      <c r="J8" s="8" t="s">
        <v>21</v>
      </c>
      <c r="K8" s="8" t="s">
        <v>22</v>
      </c>
      <c r="L8" s="9" t="s">
        <v>16</v>
      </c>
      <c r="M8" s="9">
        <v>37</v>
      </c>
      <c r="N8" s="9">
        <v>25</v>
      </c>
      <c r="T8" s="1"/>
    </row>
    <row r="9" spans="2:20" x14ac:dyDescent="0.25">
      <c r="B9" t="s">
        <v>23</v>
      </c>
      <c r="C9" s="3" t="s">
        <v>24</v>
      </c>
      <c r="D9" s="3" t="s">
        <v>13</v>
      </c>
      <c r="E9" s="3">
        <f>HLOOKUP($E$3,$M$3:$N$16,5,FALSE)</f>
        <v>200</v>
      </c>
      <c r="J9" s="10" t="s">
        <v>21</v>
      </c>
      <c r="K9" s="11">
        <v>100</v>
      </c>
      <c r="L9" s="9" t="s">
        <v>16</v>
      </c>
      <c r="M9" s="12">
        <f>M8+(M10-M8)/150*K9</f>
        <v>68.333333333333343</v>
      </c>
      <c r="N9" s="12">
        <f>N8+(N10-N8)/150*K9</f>
        <v>37</v>
      </c>
    </row>
    <row r="10" spans="2:20" x14ac:dyDescent="0.25">
      <c r="B10" t="s">
        <v>25</v>
      </c>
      <c r="E10" s="13">
        <v>0.4</v>
      </c>
      <c r="J10" t="s">
        <v>21</v>
      </c>
      <c r="K10" t="s">
        <v>26</v>
      </c>
      <c r="L10" s="3" t="s">
        <v>16</v>
      </c>
      <c r="M10" s="3">
        <v>84</v>
      </c>
      <c r="N10" s="3">
        <v>43</v>
      </c>
      <c r="T10" s="1"/>
    </row>
    <row r="11" spans="2:20" ht="17.25" x14ac:dyDescent="0.25">
      <c r="B11" t="s">
        <v>27</v>
      </c>
      <c r="C11" s="3" t="s">
        <v>17</v>
      </c>
      <c r="D11" s="3" t="s">
        <v>13</v>
      </c>
      <c r="E11" s="6">
        <f>E9*(1-E10)</f>
        <v>120</v>
      </c>
      <c r="J11" t="s">
        <v>28</v>
      </c>
      <c r="L11" s="3" t="s">
        <v>29</v>
      </c>
      <c r="M11" s="14">
        <f>4.08*7.35</f>
        <v>29.988</v>
      </c>
      <c r="N11" s="14">
        <f>4.04*6.44</f>
        <v>26.017600000000002</v>
      </c>
      <c r="T11" s="1"/>
    </row>
    <row r="12" spans="2:20" ht="17.25" x14ac:dyDescent="0.25">
      <c r="B12" t="s">
        <v>30</v>
      </c>
      <c r="D12" s="3" t="s">
        <v>31</v>
      </c>
      <c r="E12" s="3">
        <v>40</v>
      </c>
      <c r="J12" t="s">
        <v>32</v>
      </c>
      <c r="L12" s="3" t="s">
        <v>29</v>
      </c>
      <c r="M12" s="14">
        <f>5.28*3.34</f>
        <v>17.635200000000001</v>
      </c>
      <c r="N12" s="14">
        <f>4.54*3.34</f>
        <v>15.163599999999999</v>
      </c>
      <c r="T12" s="1"/>
    </row>
    <row r="13" spans="2:20" x14ac:dyDescent="0.25">
      <c r="B13" t="s">
        <v>33</v>
      </c>
      <c r="C13" s="3" t="s">
        <v>34</v>
      </c>
      <c r="D13" s="3" t="s">
        <v>8</v>
      </c>
      <c r="E13" s="3">
        <v>800</v>
      </c>
      <c r="J13" t="s">
        <v>35</v>
      </c>
      <c r="L13" s="3" t="s">
        <v>36</v>
      </c>
      <c r="M13" s="7">
        <f>M12/M11</f>
        <v>0.58807523009203688</v>
      </c>
      <c r="N13" s="7">
        <f>N12/N11</f>
        <v>0.58282085972572406</v>
      </c>
      <c r="T13" s="1"/>
    </row>
    <row r="14" spans="2:20" ht="17.25" x14ac:dyDescent="0.25">
      <c r="B14" t="s">
        <v>37</v>
      </c>
      <c r="C14" s="3" t="s">
        <v>38</v>
      </c>
      <c r="D14" s="3" t="s">
        <v>36</v>
      </c>
      <c r="E14" s="3">
        <v>1.07</v>
      </c>
      <c r="J14" t="s">
        <v>39</v>
      </c>
      <c r="K14" t="s">
        <v>22</v>
      </c>
      <c r="L14" s="3" t="s">
        <v>40</v>
      </c>
      <c r="M14" s="6">
        <f>M8*M12</f>
        <v>652.50240000000008</v>
      </c>
      <c r="N14" s="6">
        <f>N8*N12</f>
        <v>379.09</v>
      </c>
      <c r="T14" s="5">
        <f>M14/N14</f>
        <v>1.7212334801762117</v>
      </c>
    </row>
    <row r="15" spans="2:20" ht="17.25" x14ac:dyDescent="0.25">
      <c r="J15" s="1" t="s">
        <v>39</v>
      </c>
      <c r="K15" s="1" t="s">
        <v>26</v>
      </c>
      <c r="L15" s="3" t="s">
        <v>40</v>
      </c>
      <c r="M15" s="15">
        <f>M10*M12</f>
        <v>1481.3568</v>
      </c>
      <c r="N15" s="15">
        <f>N10*N12</f>
        <v>652.0347999999999</v>
      </c>
      <c r="T15" s="5">
        <f>M15/N15</f>
        <v>2.2718983710685383</v>
      </c>
    </row>
    <row r="16" spans="2:20" x14ac:dyDescent="0.25">
      <c r="B16" t="s">
        <v>41</v>
      </c>
      <c r="C16" s="3"/>
      <c r="E16" s="3">
        <v>1</v>
      </c>
      <c r="F16" s="3">
        <v>2</v>
      </c>
      <c r="G16" s="3">
        <v>3</v>
      </c>
      <c r="H16" s="3">
        <v>4</v>
      </c>
      <c r="I16" s="16"/>
      <c r="J16" t="s">
        <v>19</v>
      </c>
      <c r="L16" s="3" t="s">
        <v>20</v>
      </c>
      <c r="M16" s="3">
        <v>0.24</v>
      </c>
      <c r="N16" s="3">
        <v>0.35</v>
      </c>
    </row>
    <row r="17" spans="2:16" x14ac:dyDescent="0.25">
      <c r="B17" t="s">
        <v>42</v>
      </c>
      <c r="C17" s="3" t="s">
        <v>43</v>
      </c>
      <c r="D17" s="3" t="s">
        <v>44</v>
      </c>
      <c r="E17" s="3">
        <v>600</v>
      </c>
      <c r="F17" s="3">
        <v>300</v>
      </c>
      <c r="G17" s="3">
        <v>100</v>
      </c>
      <c r="H17" s="3">
        <v>40</v>
      </c>
    </row>
    <row r="18" spans="2:16" x14ac:dyDescent="0.25">
      <c r="B18" t="s">
        <v>45</v>
      </c>
      <c r="C18" s="3" t="s">
        <v>46</v>
      </c>
      <c r="D18" s="3" t="s">
        <v>47</v>
      </c>
      <c r="E18" s="6">
        <f>$E13/2*$E$14/SQRT(2)</f>
        <v>302.64170234784234</v>
      </c>
      <c r="F18" s="6">
        <f>$E13/2*$E$14/SQRT(2)</f>
        <v>302.64170234784234</v>
      </c>
      <c r="G18" s="6">
        <f>$E13/2*$E$14/SQRT(2)</f>
        <v>302.64170234784234</v>
      </c>
      <c r="H18" s="6">
        <f>$E13/2*$E$14/SQRT(2)</f>
        <v>302.64170234784234</v>
      </c>
    </row>
    <row r="19" spans="2:16" x14ac:dyDescent="0.25">
      <c r="B19" t="s">
        <v>48</v>
      </c>
      <c r="C19" s="3" t="s">
        <v>49</v>
      </c>
      <c r="D19" s="3" t="s">
        <v>50</v>
      </c>
      <c r="E19" s="6">
        <f>1000*E17/E18/3</f>
        <v>660.84745905284819</v>
      </c>
      <c r="F19" s="6">
        <f>1000*F17/F18/3</f>
        <v>330.4237295264241</v>
      </c>
      <c r="G19" s="6">
        <f>1000*G17/G18/3</f>
        <v>110.1412431754747</v>
      </c>
      <c r="H19" s="6">
        <f>1000*H17/H18/3</f>
        <v>44.05649727018988</v>
      </c>
    </row>
    <row r="20" spans="2:16" x14ac:dyDescent="0.25">
      <c r="B20" t="s">
        <v>51</v>
      </c>
      <c r="C20" s="3" t="s">
        <v>52</v>
      </c>
      <c r="D20" s="3" t="s">
        <v>53</v>
      </c>
      <c r="E20" s="6">
        <f>E19*SQRT(2)</f>
        <v>934.57943925233656</v>
      </c>
      <c r="F20" s="6">
        <f>F19*SQRT(2)</f>
        <v>467.28971962616828</v>
      </c>
      <c r="G20" s="6">
        <f>G19*SQRT(2)</f>
        <v>155.76323987538942</v>
      </c>
      <c r="H20" s="6">
        <f>H19*SQRT(2)</f>
        <v>62.305295950155774</v>
      </c>
    </row>
    <row r="21" spans="2:16" x14ac:dyDescent="0.25">
      <c r="B21" t="s">
        <v>54</v>
      </c>
      <c r="C21" s="3" t="s">
        <v>55</v>
      </c>
      <c r="D21" s="3"/>
      <c r="E21" s="14">
        <f>E20/$E$11</f>
        <v>7.7881619937694717</v>
      </c>
      <c r="F21" s="14">
        <f>F20/$E$11</f>
        <v>3.8940809968847359</v>
      </c>
      <c r="G21" s="14">
        <f>G20/$E$11</f>
        <v>1.2980269989615785</v>
      </c>
      <c r="H21" s="14">
        <f>H20/$E$11</f>
        <v>0.51921079958463145</v>
      </c>
    </row>
    <row r="22" spans="2:16" x14ac:dyDescent="0.25">
      <c r="B22" t="s">
        <v>56</v>
      </c>
      <c r="C22" s="3" t="s">
        <v>57</v>
      </c>
      <c r="D22" s="3"/>
      <c r="E22" s="3">
        <v>14</v>
      </c>
      <c r="F22" s="3">
        <v>7</v>
      </c>
      <c r="G22" s="3">
        <v>2</v>
      </c>
      <c r="H22" s="3">
        <v>1</v>
      </c>
    </row>
    <row r="23" spans="2:16" x14ac:dyDescent="0.25">
      <c r="B23" t="s">
        <v>58</v>
      </c>
      <c r="C23" s="3" t="s">
        <v>59</v>
      </c>
      <c r="D23" s="3" t="s">
        <v>60</v>
      </c>
      <c r="E23" s="12">
        <f ca="1">$E$5+($E$6-$E$5)/150*E26</f>
        <v>31.262830364038589</v>
      </c>
      <c r="F23" s="12">
        <f ca="1">$E$5+($E$6-$E$5)/150*F26</f>
        <v>31.262830364038589</v>
      </c>
      <c r="G23" s="12">
        <f ca="1">$E$5+($E$6-$E$5)/150*G26</f>
        <v>31.827006016884592</v>
      </c>
      <c r="H23" s="12">
        <f ca="1">$E$5+($E$6-$E$5)/150*H26</f>
        <v>31.066276140468023</v>
      </c>
    </row>
    <row r="24" spans="2:16" x14ac:dyDescent="0.25">
      <c r="B24" t="s">
        <v>61</v>
      </c>
      <c r="C24" s="3" t="s">
        <v>62</v>
      </c>
      <c r="D24" s="3" t="s">
        <v>63</v>
      </c>
      <c r="E24" s="17">
        <f ca="1">E23/1000/E22</f>
        <v>2.2330593117170423E-3</v>
      </c>
      <c r="F24" s="17">
        <f ca="1">F23/1000/F22</f>
        <v>4.4661186234340846E-3</v>
      </c>
      <c r="G24" s="17">
        <f ca="1">G23/1000/G22</f>
        <v>1.5913503008442294E-2</v>
      </c>
      <c r="H24" s="17">
        <f ca="1">H23/1000/H22</f>
        <v>3.1066276140468023E-2</v>
      </c>
    </row>
    <row r="25" spans="2:16" x14ac:dyDescent="0.25">
      <c r="B25" t="s">
        <v>64</v>
      </c>
      <c r="C25" s="3" t="s">
        <v>19</v>
      </c>
      <c r="D25" s="3" t="s">
        <v>20</v>
      </c>
      <c r="E25" s="17">
        <f>$E8/E22</f>
        <v>2.4999999999999998E-2</v>
      </c>
      <c r="F25" s="17">
        <f>$E8/F22</f>
        <v>4.9999999999999996E-2</v>
      </c>
      <c r="G25" s="17">
        <f>$E8/G22</f>
        <v>0.17499999999999999</v>
      </c>
      <c r="H25" s="17">
        <f>$E8/H22</f>
        <v>0.35</v>
      </c>
    </row>
    <row r="26" spans="2:16" x14ac:dyDescent="0.25">
      <c r="B26" t="s">
        <v>65</v>
      </c>
      <c r="C26" s="3" t="s">
        <v>66</v>
      </c>
      <c r="D26" s="3" t="s">
        <v>31</v>
      </c>
      <c r="E26" s="14">
        <f ca="1">$E12+E27</f>
        <v>52.190253033654919</v>
      </c>
      <c r="F26" s="14">
        <f ca="1">$E12+F27</f>
        <v>52.190253033654919</v>
      </c>
      <c r="G26" s="14">
        <f ca="1">$E12+G27</f>
        <v>56.891716807371594</v>
      </c>
      <c r="H26" s="14">
        <f ca="1">$E12+H27</f>
        <v>50.552301170566871</v>
      </c>
    </row>
    <row r="27" spans="2:16" x14ac:dyDescent="0.25">
      <c r="B27" t="s">
        <v>67</v>
      </c>
      <c r="C27" s="3" t="s">
        <v>68</v>
      </c>
      <c r="D27" s="3" t="s">
        <v>69</v>
      </c>
      <c r="E27" s="14">
        <f ca="1">E29*E25</f>
        <v>12.190253033654917</v>
      </c>
      <c r="F27" s="14">
        <f ca="1">F29*F25</f>
        <v>12.190253033654917</v>
      </c>
      <c r="G27" s="14">
        <f ca="1">G29*G25</f>
        <v>16.891716807371591</v>
      </c>
      <c r="H27" s="14">
        <f ca="1">H29*H25</f>
        <v>10.552301170566871</v>
      </c>
    </row>
    <row r="28" spans="2:16" s="2" customFormat="1" x14ac:dyDescent="0.25">
      <c r="B28" t="s">
        <v>70</v>
      </c>
      <c r="C28" s="3" t="s">
        <v>71</v>
      </c>
      <c r="D28" s="3" t="s">
        <v>72</v>
      </c>
      <c r="E28" s="6">
        <f ca="1">E29/E22</f>
        <v>34.829294381871193</v>
      </c>
      <c r="F28" s="6">
        <f ca="1">F29/F22</f>
        <v>34.829294381871193</v>
      </c>
      <c r="G28" s="6">
        <f ca="1">G29/G22</f>
        <v>48.262048021061688</v>
      </c>
      <c r="H28" s="6">
        <f ca="1">H29/H22</f>
        <v>30.149431915905346</v>
      </c>
      <c r="J28"/>
      <c r="K28"/>
      <c r="L28"/>
      <c r="M28"/>
      <c r="N28"/>
      <c r="O28"/>
      <c r="P28"/>
    </row>
    <row r="29" spans="2:16" s="2" customFormat="1" x14ac:dyDescent="0.25">
      <c r="B29" t="s">
        <v>73</v>
      </c>
      <c r="C29" s="3" t="s">
        <v>74</v>
      </c>
      <c r="D29" s="3" t="s">
        <v>72</v>
      </c>
      <c r="E29" s="6">
        <f ca="1">E24*E19^2/2</f>
        <v>487.61012134619671</v>
      </c>
      <c r="F29" s="6">
        <f ca="1">F24*F19^2/2</f>
        <v>243.80506067309835</v>
      </c>
      <c r="G29" s="6">
        <f ca="1">G24*G19^2/2</f>
        <v>96.524096042123375</v>
      </c>
      <c r="H29" s="6">
        <f ca="1">H24*H19^2/2</f>
        <v>30.149431915905346</v>
      </c>
      <c r="J29"/>
      <c r="K29"/>
      <c r="L29"/>
      <c r="M29"/>
      <c r="N29"/>
      <c r="O29"/>
      <c r="P29"/>
    </row>
    <row r="30" spans="2:16" s="2" customFormat="1" x14ac:dyDescent="0.25">
      <c r="B30" t="s">
        <v>75</v>
      </c>
      <c r="C30" s="3" t="s">
        <v>76</v>
      </c>
      <c r="D30" s="3" t="s">
        <v>72</v>
      </c>
      <c r="E30" s="6">
        <f ca="1">E29*6</f>
        <v>2925.6607280771805</v>
      </c>
      <c r="F30" s="6">
        <f ca="1">F29*6</f>
        <v>1462.8303640385902</v>
      </c>
      <c r="G30" s="6">
        <f ca="1">G29*6</f>
        <v>579.14457625274031</v>
      </c>
      <c r="H30" s="6">
        <f ca="1">H29*6</f>
        <v>180.89659149543206</v>
      </c>
      <c r="J30"/>
      <c r="K30"/>
      <c r="L30"/>
      <c r="M30"/>
      <c r="N30"/>
      <c r="O30"/>
      <c r="P30"/>
    </row>
    <row r="31" spans="2:16" x14ac:dyDescent="0.25">
      <c r="B31" t="s">
        <v>77</v>
      </c>
      <c r="C31" s="3" t="s">
        <v>78</v>
      </c>
      <c r="D31" s="3" t="s">
        <v>79</v>
      </c>
      <c r="E31" s="6">
        <f ca="1">E30/E17/1000*1000000</f>
        <v>4876.1012134619677</v>
      </c>
      <c r="F31" s="6">
        <f ca="1">F30/F17/1000*1000000</f>
        <v>4876.1012134619677</v>
      </c>
      <c r="G31" s="6">
        <f ca="1">G30/G17/1000*1000000</f>
        <v>5791.4457625274035</v>
      </c>
      <c r="H31" s="6">
        <f ca="1">H30/H17/1000*1000000</f>
        <v>4522.414787385801</v>
      </c>
    </row>
    <row r="32" spans="2:16" x14ac:dyDescent="0.25">
      <c r="B32" t="s">
        <v>80</v>
      </c>
      <c r="C32" s="3" t="s">
        <v>81</v>
      </c>
      <c r="D32" s="18" t="s">
        <v>36</v>
      </c>
      <c r="E32" s="19">
        <f ca="1">1-E30/E17/1000</f>
        <v>0.99512389878653806</v>
      </c>
      <c r="F32" s="19">
        <f ca="1">1-F30/F17/1000</f>
        <v>0.99512389878653806</v>
      </c>
      <c r="G32" s="19">
        <f ca="1">1-G30/G17/1000</f>
        <v>0.99420855423747256</v>
      </c>
      <c r="H32" s="19">
        <f ca="1">1-H30/H17/1000</f>
        <v>0.9954775852126142</v>
      </c>
    </row>
    <row r="33" spans="2:8" s="2" customFormat="1" x14ac:dyDescent="0.25">
      <c r="B33" t="s">
        <v>82</v>
      </c>
      <c r="C33" s="3" t="s">
        <v>83</v>
      </c>
      <c r="D33" s="3" t="s">
        <v>84</v>
      </c>
      <c r="E33" s="3">
        <v>3</v>
      </c>
      <c r="F33" s="3">
        <v>3</v>
      </c>
      <c r="G33" s="3">
        <v>3</v>
      </c>
      <c r="H33" s="3">
        <v>3</v>
      </c>
    </row>
    <row r="34" spans="2:8" s="2" customFormat="1" x14ac:dyDescent="0.25">
      <c r="B34" t="s">
        <v>85</v>
      </c>
      <c r="C34" s="3" t="s">
        <v>86</v>
      </c>
      <c r="D34" s="3" t="s">
        <v>87</v>
      </c>
      <c r="E34" s="3">
        <f>E33*E17</f>
        <v>1800</v>
      </c>
      <c r="F34" s="3">
        <f>F33*F17</f>
        <v>900</v>
      </c>
      <c r="G34" s="3">
        <f>G33*G17</f>
        <v>300</v>
      </c>
      <c r="H34" s="3">
        <f>H33*H17</f>
        <v>120</v>
      </c>
    </row>
    <row r="35" spans="2:8" s="2" customFormat="1" x14ac:dyDescent="0.25">
      <c r="B35" t="s">
        <v>88</v>
      </c>
      <c r="C35" s="3" t="s">
        <v>89</v>
      </c>
      <c r="D35" s="3" t="s">
        <v>90</v>
      </c>
      <c r="E35" s="14">
        <f>2*E34/$E13^2*1000</f>
        <v>5.625</v>
      </c>
      <c r="F35" s="14">
        <f>2*F34/$E13^2*1000</f>
        <v>2.8125</v>
      </c>
      <c r="G35" s="14">
        <f>2*G34/$E13^2*1000</f>
        <v>0.9375</v>
      </c>
      <c r="H35" s="14">
        <f>2*H34/$E13^2*1000</f>
        <v>0.375</v>
      </c>
    </row>
    <row r="37" spans="2:8" s="2" customFormat="1" x14ac:dyDescent="0.25">
      <c r="B37" s="10" t="s">
        <v>91</v>
      </c>
      <c r="C37"/>
      <c r="D37"/>
      <c r="E37"/>
      <c r="F37"/>
      <c r="G37"/>
      <c r="H37"/>
    </row>
    <row r="38" spans="2:8" s="2" customFormat="1" x14ac:dyDescent="0.25">
      <c r="B38" t="s">
        <v>92</v>
      </c>
      <c r="C38"/>
      <c r="D38"/>
      <c r="E38"/>
      <c r="F38"/>
      <c r="G38"/>
      <c r="H38"/>
    </row>
    <row r="39" spans="2:8" s="2" customFormat="1" x14ac:dyDescent="0.25">
      <c r="B39" t="s">
        <v>93</v>
      </c>
      <c r="C39"/>
      <c r="D39"/>
      <c r="E39"/>
      <c r="F39"/>
      <c r="G39"/>
      <c r="H39"/>
    </row>
    <row r="40" spans="2:8" s="2" customFormat="1" x14ac:dyDescent="0.25">
      <c r="B40" t="s">
        <v>94</v>
      </c>
      <c r="C40"/>
      <c r="D40"/>
      <c r="E40"/>
      <c r="F40"/>
      <c r="G40"/>
      <c r="H40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40"/>
  <sheetViews>
    <sheetView tabSelected="1" zoomScale="110" zoomScaleNormal="110" workbookViewId="0">
      <selection activeCell="N23" sqref="N23"/>
    </sheetView>
  </sheetViews>
  <sheetFormatPr defaultRowHeight="15" x14ac:dyDescent="0.25"/>
  <cols>
    <col min="2" max="2" width="27.28515625" customWidth="1"/>
    <col min="3" max="3" width="10.5703125" customWidth="1"/>
    <col min="5" max="5" width="11.7109375" bestFit="1" customWidth="1"/>
    <col min="6" max="7" width="9.7109375" bestFit="1" customWidth="1"/>
    <col min="8" max="8" width="9.85546875" customWidth="1"/>
    <col min="9" max="9" width="4.7109375" style="2" customWidth="1"/>
    <col min="11" max="11" width="6.7109375" customWidth="1"/>
    <col min="12" max="12" width="10.140625" customWidth="1"/>
    <col min="13" max="13" width="16.5703125" customWidth="1"/>
    <col min="14" max="14" width="18" customWidth="1"/>
    <col min="15" max="15" width="11.5703125" bestFit="1" customWidth="1"/>
  </cols>
  <sheetData>
    <row r="1" spans="2:20" x14ac:dyDescent="0.25">
      <c r="B1" s="1" t="s">
        <v>0</v>
      </c>
      <c r="J1" s="1" t="s">
        <v>1</v>
      </c>
    </row>
    <row r="3" spans="2:20" x14ac:dyDescent="0.25">
      <c r="C3" s="3" t="s">
        <v>2</v>
      </c>
      <c r="E3" s="3" t="s">
        <v>4</v>
      </c>
      <c r="M3" s="3" t="s">
        <v>4</v>
      </c>
      <c r="N3" s="3" t="s">
        <v>3</v>
      </c>
      <c r="T3" s="4" t="s">
        <v>5</v>
      </c>
    </row>
    <row r="4" spans="2:20" x14ac:dyDescent="0.25">
      <c r="B4" t="s">
        <v>6</v>
      </c>
      <c r="C4" s="3" t="s">
        <v>7</v>
      </c>
      <c r="D4" s="3" t="s">
        <v>8</v>
      </c>
      <c r="E4" s="3">
        <f>HLOOKUP($E$3,$M$3:$N$16,3,FALSE)</f>
        <v>1700</v>
      </c>
      <c r="H4" s="3"/>
      <c r="M4" s="3" t="s">
        <v>9</v>
      </c>
      <c r="N4" s="3" t="s">
        <v>9</v>
      </c>
      <c r="P4" s="3"/>
      <c r="T4" s="1"/>
    </row>
    <row r="5" spans="2:20" x14ac:dyDescent="0.25">
      <c r="C5" s="3" t="s">
        <v>10</v>
      </c>
      <c r="E5" s="3">
        <f>HLOOKUP($E$3,$M$3:$N$16,6,FALSE)</f>
        <v>37</v>
      </c>
      <c r="G5" s="3"/>
      <c r="J5" s="1" t="s">
        <v>7</v>
      </c>
      <c r="K5" s="1"/>
      <c r="L5" s="1"/>
      <c r="M5" s="4">
        <v>1700</v>
      </c>
      <c r="N5" s="4">
        <v>1200</v>
      </c>
      <c r="P5" s="3"/>
      <c r="T5" s="5">
        <f>M5/N5</f>
        <v>1.4166666666666667</v>
      </c>
    </row>
    <row r="6" spans="2:20" x14ac:dyDescent="0.25">
      <c r="C6" s="3" t="s">
        <v>11</v>
      </c>
      <c r="E6" s="3">
        <f>HLOOKUP($E$3,$M$3:$N$16,8,FALSE)</f>
        <v>84</v>
      </c>
      <c r="J6" t="s">
        <v>12</v>
      </c>
      <c r="L6" s="3" t="s">
        <v>13</v>
      </c>
      <c r="M6" s="3">
        <v>56</v>
      </c>
      <c r="N6" s="3">
        <v>60</v>
      </c>
    </row>
    <row r="7" spans="2:20" x14ac:dyDescent="0.25">
      <c r="B7" t="s">
        <v>14</v>
      </c>
      <c r="C7" s="3" t="s">
        <v>15</v>
      </c>
      <c r="D7" s="3" t="s">
        <v>16</v>
      </c>
      <c r="E7" s="6">
        <f>HLOOKUP($E$3,$M$3:$N$16,7,FALSE)</f>
        <v>68.333333333333343</v>
      </c>
      <c r="J7" t="s">
        <v>17</v>
      </c>
      <c r="L7" s="3" t="s">
        <v>13</v>
      </c>
      <c r="M7" s="3">
        <v>135</v>
      </c>
      <c r="N7" s="3">
        <v>200</v>
      </c>
    </row>
    <row r="8" spans="2:20" x14ac:dyDescent="0.25">
      <c r="B8" t="s">
        <v>18</v>
      </c>
      <c r="C8" s="3" t="s">
        <v>19</v>
      </c>
      <c r="D8" s="3" t="s">
        <v>20</v>
      </c>
      <c r="E8" s="7">
        <f>HLOOKUP($E$3,$M$3:$N$16,14,FALSE)</f>
        <v>0.24</v>
      </c>
      <c r="J8" s="8" t="s">
        <v>21</v>
      </c>
      <c r="K8" s="8" t="s">
        <v>22</v>
      </c>
      <c r="L8" s="9" t="s">
        <v>16</v>
      </c>
      <c r="M8" s="9">
        <v>37</v>
      </c>
      <c r="N8" s="9">
        <v>25</v>
      </c>
      <c r="T8" s="1"/>
    </row>
    <row r="9" spans="2:20" x14ac:dyDescent="0.25">
      <c r="B9" t="s">
        <v>23</v>
      </c>
      <c r="C9" s="3" t="s">
        <v>24</v>
      </c>
      <c r="D9" s="3" t="s">
        <v>13</v>
      </c>
      <c r="E9" s="3">
        <f>HLOOKUP($E$3,$M$3:$N$16,5,FALSE)</f>
        <v>135</v>
      </c>
      <c r="J9" s="10" t="s">
        <v>21</v>
      </c>
      <c r="K9" s="11">
        <v>100</v>
      </c>
      <c r="L9" s="9" t="s">
        <v>16</v>
      </c>
      <c r="M9" s="12">
        <f>M8+(M10-M8)/150*K9</f>
        <v>68.333333333333343</v>
      </c>
      <c r="N9" s="12">
        <f>N8+(N10-N8)/150*K9</f>
        <v>37</v>
      </c>
    </row>
    <row r="10" spans="2:20" x14ac:dyDescent="0.25">
      <c r="B10" t="s">
        <v>25</v>
      </c>
      <c r="E10" s="13">
        <v>0.4</v>
      </c>
      <c r="J10" t="s">
        <v>21</v>
      </c>
      <c r="K10" t="s">
        <v>26</v>
      </c>
      <c r="L10" s="3" t="s">
        <v>16</v>
      </c>
      <c r="M10" s="3">
        <v>84</v>
      </c>
      <c r="N10" s="3">
        <v>43</v>
      </c>
      <c r="T10" s="1"/>
    </row>
    <row r="11" spans="2:20" ht="17.25" x14ac:dyDescent="0.25">
      <c r="B11" t="s">
        <v>27</v>
      </c>
      <c r="C11" s="3" t="s">
        <v>17</v>
      </c>
      <c r="D11" s="3" t="s">
        <v>13</v>
      </c>
      <c r="E11" s="6">
        <f>E9*(1-E10)</f>
        <v>81</v>
      </c>
      <c r="J11" t="s">
        <v>28</v>
      </c>
      <c r="L11" s="3" t="s">
        <v>29</v>
      </c>
      <c r="M11" s="14">
        <f>4.08*7.35</f>
        <v>29.988</v>
      </c>
      <c r="N11" s="14">
        <f>4.04*6.44</f>
        <v>26.017600000000002</v>
      </c>
      <c r="T11" s="1"/>
    </row>
    <row r="12" spans="2:20" ht="17.25" x14ac:dyDescent="0.25">
      <c r="B12" t="s">
        <v>30</v>
      </c>
      <c r="D12" s="3" t="s">
        <v>31</v>
      </c>
      <c r="E12" s="3">
        <v>40</v>
      </c>
      <c r="J12" t="s">
        <v>32</v>
      </c>
      <c r="L12" s="3" t="s">
        <v>29</v>
      </c>
      <c r="M12" s="14">
        <f>5.28*3.34</f>
        <v>17.635200000000001</v>
      </c>
      <c r="N12" s="14">
        <f>4.54*3.34</f>
        <v>15.163599999999999</v>
      </c>
      <c r="T12" s="1"/>
    </row>
    <row r="13" spans="2:20" x14ac:dyDescent="0.25">
      <c r="B13" t="s">
        <v>33</v>
      </c>
      <c r="C13" s="3" t="s">
        <v>34</v>
      </c>
      <c r="D13" s="3" t="s">
        <v>8</v>
      </c>
      <c r="E13" s="3">
        <v>1200</v>
      </c>
      <c r="J13" t="s">
        <v>35</v>
      </c>
      <c r="L13" s="3" t="s">
        <v>36</v>
      </c>
      <c r="M13" s="7">
        <f>M12/M11</f>
        <v>0.58807523009203688</v>
      </c>
      <c r="N13" s="7">
        <f>N12/N11</f>
        <v>0.58282085972572406</v>
      </c>
      <c r="T13" s="1"/>
    </row>
    <row r="14" spans="2:20" ht="17.25" x14ac:dyDescent="0.25">
      <c r="B14" t="s">
        <v>37</v>
      </c>
      <c r="C14" s="3" t="s">
        <v>38</v>
      </c>
      <c r="D14" s="3" t="s">
        <v>36</v>
      </c>
      <c r="E14" s="3">
        <v>1.07</v>
      </c>
      <c r="J14" t="s">
        <v>39</v>
      </c>
      <c r="K14" t="s">
        <v>22</v>
      </c>
      <c r="L14" s="3" t="s">
        <v>40</v>
      </c>
      <c r="M14" s="6">
        <f>M8*M12</f>
        <v>652.50240000000008</v>
      </c>
      <c r="N14" s="6">
        <f>N8*N12</f>
        <v>379.09</v>
      </c>
      <c r="T14" s="5">
        <f>M14/N14</f>
        <v>1.7212334801762117</v>
      </c>
    </row>
    <row r="15" spans="2:20" ht="17.25" x14ac:dyDescent="0.25">
      <c r="J15" s="1" t="s">
        <v>39</v>
      </c>
      <c r="K15" s="1" t="s">
        <v>26</v>
      </c>
      <c r="L15" s="3" t="s">
        <v>40</v>
      </c>
      <c r="M15" s="15">
        <f>M10*M12</f>
        <v>1481.3568</v>
      </c>
      <c r="N15" s="15">
        <f>N10*N12</f>
        <v>652.0347999999999</v>
      </c>
      <c r="T15" s="5">
        <f>M15/N15</f>
        <v>2.2718983710685383</v>
      </c>
    </row>
    <row r="16" spans="2:20" x14ac:dyDescent="0.25">
      <c r="B16" t="s">
        <v>41</v>
      </c>
      <c r="C16" s="3"/>
      <c r="E16" s="3">
        <v>1</v>
      </c>
      <c r="F16" s="3">
        <v>2</v>
      </c>
      <c r="G16" s="3">
        <v>3</v>
      </c>
      <c r="H16" s="3">
        <v>4</v>
      </c>
      <c r="I16" s="16"/>
      <c r="J16" t="s">
        <v>19</v>
      </c>
      <c r="L16" s="3" t="s">
        <v>20</v>
      </c>
      <c r="M16" s="3">
        <v>0.24</v>
      </c>
      <c r="N16" s="3">
        <v>0.35</v>
      </c>
    </row>
    <row r="17" spans="2:16" x14ac:dyDescent="0.25">
      <c r="B17" t="s">
        <v>42</v>
      </c>
      <c r="C17" s="3" t="s">
        <v>43</v>
      </c>
      <c r="D17" s="3" t="s">
        <v>44</v>
      </c>
      <c r="E17" s="3">
        <v>600</v>
      </c>
      <c r="F17" s="3">
        <v>300</v>
      </c>
      <c r="G17" s="3">
        <v>100</v>
      </c>
      <c r="H17" s="3">
        <v>40</v>
      </c>
    </row>
    <row r="18" spans="2:16" x14ac:dyDescent="0.25">
      <c r="B18" t="s">
        <v>45</v>
      </c>
      <c r="C18" s="3" t="s">
        <v>46</v>
      </c>
      <c r="D18" s="3" t="s">
        <v>47</v>
      </c>
      <c r="E18" s="6">
        <f>$E13/2*$E$14/SQRT(2)</f>
        <v>453.96255352176348</v>
      </c>
      <c r="F18" s="6">
        <f>$E13/2*$E$14/SQRT(2)</f>
        <v>453.96255352176348</v>
      </c>
      <c r="G18" s="6">
        <f>$E13/2*$E$14/SQRT(2)</f>
        <v>453.96255352176348</v>
      </c>
      <c r="H18" s="6">
        <f>$E13/2*$E$14/SQRT(2)</f>
        <v>453.96255352176348</v>
      </c>
    </row>
    <row r="19" spans="2:16" x14ac:dyDescent="0.25">
      <c r="B19" t="s">
        <v>48</v>
      </c>
      <c r="C19" s="3" t="s">
        <v>49</v>
      </c>
      <c r="D19" s="3" t="s">
        <v>50</v>
      </c>
      <c r="E19" s="6">
        <f>1000*E17/E18/3</f>
        <v>440.5649727018988</v>
      </c>
      <c r="F19" s="6">
        <f t="shared" ref="F19:H19" si="0">1000*F17/F18/3</f>
        <v>220.2824863509494</v>
      </c>
      <c r="G19" s="6">
        <f t="shared" si="0"/>
        <v>73.427495450316471</v>
      </c>
      <c r="H19" s="6">
        <f t="shared" si="0"/>
        <v>29.370998180126588</v>
      </c>
    </row>
    <row r="20" spans="2:16" x14ac:dyDescent="0.25">
      <c r="B20" t="s">
        <v>51</v>
      </c>
      <c r="C20" s="3" t="s">
        <v>52</v>
      </c>
      <c r="D20" s="3" t="s">
        <v>53</v>
      </c>
      <c r="E20" s="6">
        <f>E19*SQRT(2)</f>
        <v>623.05295950155767</v>
      </c>
      <c r="F20" s="6">
        <f t="shared" ref="F20:H20" si="1">F19*SQRT(2)</f>
        <v>311.52647975077883</v>
      </c>
      <c r="G20" s="6">
        <f t="shared" si="1"/>
        <v>103.84215991692629</v>
      </c>
      <c r="H20" s="6">
        <f t="shared" si="1"/>
        <v>41.536863966770518</v>
      </c>
    </row>
    <row r="21" spans="2:16" x14ac:dyDescent="0.25">
      <c r="B21" t="s">
        <v>54</v>
      </c>
      <c r="C21" s="3" t="s">
        <v>55</v>
      </c>
      <c r="D21" s="3"/>
      <c r="E21" s="14">
        <f>E20/$E$11</f>
        <v>7.6920118456982429</v>
      </c>
      <c r="F21" s="14">
        <f t="shared" ref="F21:H21" si="2">F20/$E$11</f>
        <v>3.8460059228491215</v>
      </c>
      <c r="G21" s="14">
        <f t="shared" si="2"/>
        <v>1.2820019742830406</v>
      </c>
      <c r="H21" s="14">
        <f t="shared" si="2"/>
        <v>0.5128007897132163</v>
      </c>
    </row>
    <row r="22" spans="2:16" x14ac:dyDescent="0.25">
      <c r="B22" t="s">
        <v>56</v>
      </c>
      <c r="C22" s="3" t="s">
        <v>57</v>
      </c>
      <c r="D22" s="3"/>
      <c r="E22" s="3">
        <v>10</v>
      </c>
      <c r="F22" s="3">
        <v>5</v>
      </c>
      <c r="G22" s="3">
        <v>2</v>
      </c>
      <c r="H22" s="3">
        <v>1</v>
      </c>
    </row>
    <row r="23" spans="2:16" x14ac:dyDescent="0.25">
      <c r="B23" t="s">
        <v>58</v>
      </c>
      <c r="C23" s="3" t="s">
        <v>59</v>
      </c>
      <c r="D23" s="3" t="s">
        <v>60</v>
      </c>
      <c r="E23" s="12">
        <f ca="1">$E$5+($E$6-$E$5)/150*E26</f>
        <v>53.43290166560233</v>
      </c>
      <c r="F23" s="12">
        <f ca="1">$E$5+($E$6-$E$5)/150*F26</f>
        <v>53.43290166560233</v>
      </c>
      <c r="G23" s="12">
        <f ca="1">$E$5+($E$6-$E$5)/150*G26</f>
        <v>52.177754782369668</v>
      </c>
      <c r="H23" s="12">
        <f ca="1">$E$5+($E$6-$E$5)/150*H26</f>
        <v>51.193849250353011</v>
      </c>
    </row>
    <row r="24" spans="2:16" x14ac:dyDescent="0.25">
      <c r="B24" t="s">
        <v>61</v>
      </c>
      <c r="C24" s="3" t="s">
        <v>62</v>
      </c>
      <c r="D24" s="3" t="s">
        <v>63</v>
      </c>
      <c r="E24" s="17">
        <f ca="1">E23/1000/E22</f>
        <v>5.3432901665602332E-3</v>
      </c>
      <c r="F24" s="17">
        <f t="shared" ref="F24:H24" ca="1" si="3">F23/1000/F22</f>
        <v>1.0686580333120466E-2</v>
      </c>
      <c r="G24" s="17">
        <f t="shared" ca="1" si="3"/>
        <v>2.6088877391184834E-2</v>
      </c>
      <c r="H24" s="17">
        <f t="shared" ca="1" si="3"/>
        <v>5.1193849250353009E-2</v>
      </c>
    </row>
    <row r="25" spans="2:16" x14ac:dyDescent="0.25">
      <c r="B25" t="s">
        <v>64</v>
      </c>
      <c r="C25" s="3" t="s">
        <v>19</v>
      </c>
      <c r="D25" s="3" t="s">
        <v>20</v>
      </c>
      <c r="E25" s="17">
        <f>$E8/E22</f>
        <v>2.4E-2</v>
      </c>
      <c r="F25" s="17">
        <f>$E8/F22</f>
        <v>4.8000000000000001E-2</v>
      </c>
      <c r="G25" s="17">
        <f>$E8/G22</f>
        <v>0.12</v>
      </c>
      <c r="H25" s="17">
        <f>$E8/H22</f>
        <v>0.24</v>
      </c>
    </row>
    <row r="26" spans="2:16" x14ac:dyDescent="0.25">
      <c r="B26" t="s">
        <v>65</v>
      </c>
      <c r="C26" s="3" t="s">
        <v>66</v>
      </c>
      <c r="D26" s="3" t="s">
        <v>31</v>
      </c>
      <c r="E26" s="14">
        <f ca="1">$E12+E27</f>
        <v>52.445430847667012</v>
      </c>
      <c r="F26" s="14">
        <f ca="1">$E12+F27</f>
        <v>52.445430847667012</v>
      </c>
      <c r="G26" s="14">
        <f ca="1">$E12+G27</f>
        <v>48.439642922456379</v>
      </c>
      <c r="H26" s="14">
        <f ca="1">$E12+H27</f>
        <v>45.299518884105346</v>
      </c>
    </row>
    <row r="27" spans="2:16" x14ac:dyDescent="0.25">
      <c r="B27" t="s">
        <v>67</v>
      </c>
      <c r="C27" s="3" t="s">
        <v>68</v>
      </c>
      <c r="D27" s="3" t="s">
        <v>69</v>
      </c>
      <c r="E27" s="14">
        <f ca="1">E29*E25</f>
        <v>12.445430847667009</v>
      </c>
      <c r="F27" s="14">
        <f t="shared" ref="F27:H27" ca="1" si="4">F29*F25</f>
        <v>12.445430847667009</v>
      </c>
      <c r="G27" s="14">
        <f t="shared" ca="1" si="4"/>
        <v>8.4396429224563807</v>
      </c>
      <c r="H27" s="14">
        <f t="shared" ca="1" si="4"/>
        <v>5.2995188841053444</v>
      </c>
    </row>
    <row r="28" spans="2:16" s="2" customFormat="1" x14ac:dyDescent="0.25">
      <c r="B28" t="s">
        <v>70</v>
      </c>
      <c r="C28" s="3" t="s">
        <v>71</v>
      </c>
      <c r="D28" s="3" t="s">
        <v>72</v>
      </c>
      <c r="E28" s="6">
        <f ca="1">E29/E22</f>
        <v>51.855961865279198</v>
      </c>
      <c r="F28" s="6">
        <f ca="1">F29/F22</f>
        <v>51.855961865279198</v>
      </c>
      <c r="G28" s="6">
        <f t="shared" ref="G28:H28" ca="1" si="5">G29/G22</f>
        <v>35.165178843568256</v>
      </c>
      <c r="H28" s="6">
        <f t="shared" ca="1" si="5"/>
        <v>22.08132868377227</v>
      </c>
      <c r="J28"/>
      <c r="K28"/>
      <c r="L28"/>
      <c r="M28"/>
      <c r="N28"/>
      <c r="O28"/>
      <c r="P28"/>
    </row>
    <row r="29" spans="2:16" s="2" customFormat="1" x14ac:dyDescent="0.25">
      <c r="B29" t="s">
        <v>73</v>
      </c>
      <c r="C29" s="3" t="s">
        <v>74</v>
      </c>
      <c r="D29" s="3" t="s">
        <v>72</v>
      </c>
      <c r="E29" s="6">
        <f ca="1">E24*E19^2/2</f>
        <v>518.55961865279198</v>
      </c>
      <c r="F29" s="6">
        <f t="shared" ref="F29:H29" ca="1" si="6">F24*F19^2/2</f>
        <v>259.27980932639599</v>
      </c>
      <c r="G29" s="6">
        <f t="shared" ca="1" si="6"/>
        <v>70.330357687136512</v>
      </c>
      <c r="H29" s="6">
        <f t="shared" ca="1" si="6"/>
        <v>22.08132868377227</v>
      </c>
      <c r="J29"/>
      <c r="K29"/>
      <c r="L29"/>
      <c r="M29"/>
      <c r="N29"/>
      <c r="O29"/>
      <c r="P29"/>
    </row>
    <row r="30" spans="2:16" s="2" customFormat="1" x14ac:dyDescent="0.25">
      <c r="B30" t="s">
        <v>75</v>
      </c>
      <c r="C30" s="3" t="s">
        <v>76</v>
      </c>
      <c r="D30" s="3" t="s">
        <v>72</v>
      </c>
      <c r="E30" s="6">
        <f ca="1">E29*6</f>
        <v>3111.3577119167521</v>
      </c>
      <c r="F30" s="6">
        <f t="shared" ref="F30:H30" ca="1" si="7">F29*6</f>
        <v>1555.6788559583761</v>
      </c>
      <c r="G30" s="6">
        <f t="shared" ca="1" si="7"/>
        <v>421.98214612281907</v>
      </c>
      <c r="H30" s="6">
        <f t="shared" ca="1" si="7"/>
        <v>132.48797210263362</v>
      </c>
      <c r="J30"/>
      <c r="K30"/>
      <c r="L30"/>
      <c r="M30"/>
      <c r="N30"/>
      <c r="O30"/>
      <c r="P30"/>
    </row>
    <row r="31" spans="2:16" x14ac:dyDescent="0.25">
      <c r="B31" t="s">
        <v>77</v>
      </c>
      <c r="C31" s="3" t="s">
        <v>78</v>
      </c>
      <c r="D31" s="3" t="s">
        <v>79</v>
      </c>
      <c r="E31" s="6">
        <f ca="1">E30/E17/1000*1000000</f>
        <v>5185.5961865279205</v>
      </c>
      <c r="F31" s="6">
        <f t="shared" ref="F31:H31" ca="1" si="8">F30/F17/1000*1000000</f>
        <v>5185.5961865279205</v>
      </c>
      <c r="G31" s="6">
        <f t="shared" ca="1" si="8"/>
        <v>4219.8214612281909</v>
      </c>
      <c r="H31" s="6">
        <f t="shared" ca="1" si="8"/>
        <v>3312.1993025658403</v>
      </c>
    </row>
    <row r="32" spans="2:16" x14ac:dyDescent="0.25">
      <c r="B32" t="s">
        <v>80</v>
      </c>
      <c r="C32" s="3" t="s">
        <v>81</v>
      </c>
      <c r="D32" s="18" t="s">
        <v>36</v>
      </c>
      <c r="E32" s="19">
        <f ca="1">1-E30/E17/1000</f>
        <v>0.99481440381347208</v>
      </c>
      <c r="F32" s="19">
        <f t="shared" ref="F32:H32" ca="1" si="9">1-F30/F17/1000</f>
        <v>0.99481440381347208</v>
      </c>
      <c r="G32" s="19">
        <f t="shared" ca="1" si="9"/>
        <v>0.99578017853877177</v>
      </c>
      <c r="H32" s="19">
        <f t="shared" ca="1" si="9"/>
        <v>0.99668780069743412</v>
      </c>
    </row>
    <row r="33" spans="2:8" x14ac:dyDescent="0.25">
      <c r="B33" t="s">
        <v>82</v>
      </c>
      <c r="C33" s="3" t="s">
        <v>83</v>
      </c>
      <c r="D33" s="3" t="s">
        <v>84</v>
      </c>
      <c r="E33" s="3">
        <v>3</v>
      </c>
      <c r="F33" s="3">
        <v>3</v>
      </c>
      <c r="G33" s="3">
        <v>3</v>
      </c>
      <c r="H33" s="3">
        <v>3</v>
      </c>
    </row>
    <row r="34" spans="2:8" x14ac:dyDescent="0.25">
      <c r="B34" t="s">
        <v>85</v>
      </c>
      <c r="C34" s="3" t="s">
        <v>86</v>
      </c>
      <c r="D34" s="3" t="s">
        <v>87</v>
      </c>
      <c r="E34" s="3">
        <f>E33*E17</f>
        <v>1800</v>
      </c>
      <c r="F34" s="3">
        <f t="shared" ref="F34:H34" si="10">F33*F17</f>
        <v>900</v>
      </c>
      <c r="G34" s="3">
        <f t="shared" si="10"/>
        <v>300</v>
      </c>
      <c r="H34" s="3">
        <f t="shared" si="10"/>
        <v>120</v>
      </c>
    </row>
    <row r="35" spans="2:8" x14ac:dyDescent="0.25">
      <c r="B35" t="s">
        <v>88</v>
      </c>
      <c r="C35" s="3" t="s">
        <v>89</v>
      </c>
      <c r="D35" s="3" t="s">
        <v>90</v>
      </c>
      <c r="E35" s="14">
        <f>2*E34/$E13^2*1000</f>
        <v>2.5</v>
      </c>
      <c r="F35" s="14">
        <f>2*F34/$E13^2*1000</f>
        <v>1.25</v>
      </c>
      <c r="G35" s="14">
        <f>2*G34/$E13^2*1000</f>
        <v>0.41666666666666669</v>
      </c>
      <c r="H35" s="14">
        <f>2*H34/$E13^2*1000</f>
        <v>0.16666666666666666</v>
      </c>
    </row>
    <row r="37" spans="2:8" x14ac:dyDescent="0.25">
      <c r="B37" s="10" t="s">
        <v>91</v>
      </c>
    </row>
    <row r="38" spans="2:8" x14ac:dyDescent="0.25">
      <c r="B38" t="s">
        <v>92</v>
      </c>
    </row>
    <row r="39" spans="2:8" x14ac:dyDescent="0.25">
      <c r="B39" t="s">
        <v>93</v>
      </c>
    </row>
    <row r="40" spans="2:8" x14ac:dyDescent="0.25">
      <c r="B40" t="s">
        <v>94</v>
      </c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9a31d8-35ea-482a-87e4-613f6177b97d" xsi:nil="true"/>
    <lcf76f155ced4ddcb4097134ff3c332f xmlns="8caa2232-9e79-466b-a67d-763ec7c9e3f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C34D0F30FA3894B96D2C6082BB46A56" ma:contentTypeVersion="11" ma:contentTypeDescription="Skapa ett nytt dokument." ma:contentTypeScope="" ma:versionID="f3ad0fb1efcbdc3d9b9e90a05d10b102">
  <xsd:schema xmlns:xsd="http://www.w3.org/2001/XMLSchema" xmlns:xs="http://www.w3.org/2001/XMLSchema" xmlns:p="http://schemas.microsoft.com/office/2006/metadata/properties" xmlns:ns2="8caa2232-9e79-466b-a67d-763ec7c9e3ff" xmlns:ns3="079a31d8-35ea-482a-87e4-613f6177b97d" targetNamespace="http://schemas.microsoft.com/office/2006/metadata/properties" ma:root="true" ma:fieldsID="1cd968e0b3e6c0bef1eb1e7d08546e14" ns2:_="" ns3:_="">
    <xsd:import namespace="8caa2232-9e79-466b-a67d-763ec7c9e3ff"/>
    <xsd:import namespace="079a31d8-35ea-482a-87e4-613f6177b9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a2232-9e79-466b-a67d-763ec7c9e3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eringar" ma:readOnly="false" ma:fieldId="{5cf76f15-5ced-4ddc-b409-7134ff3c332f}" ma:taxonomyMulti="true" ma:sspId="93a65192-9734-4a36-9c54-dd0325533d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a31d8-35ea-482a-87e4-613f6177b9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1a7674b-afac-4d5e-950c-e7b3c05175ac}" ma:internalName="TaxCatchAll" ma:showField="CatchAllData" ma:web="079a31d8-35ea-482a-87e4-613f6177b9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58D670-EC2E-44A3-9535-4377A7209062}">
  <ds:schemaRefs>
    <ds:schemaRef ds:uri="http://schemas.microsoft.com/office/2006/metadata/properties"/>
    <ds:schemaRef ds:uri="http://schemas.microsoft.com/office/infopath/2007/PartnerControls"/>
    <ds:schemaRef ds:uri="079a31d8-35ea-482a-87e4-613f6177b97d"/>
    <ds:schemaRef ds:uri="8caa2232-9e79-466b-a67d-763ec7c9e3ff"/>
  </ds:schemaRefs>
</ds:datastoreItem>
</file>

<file path=customXml/itemProps2.xml><?xml version="1.0" encoding="utf-8"?>
<ds:datastoreItem xmlns:ds="http://schemas.openxmlformats.org/officeDocument/2006/customXml" ds:itemID="{59EA0924-B572-4600-8A21-C9D3E1E442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aa2232-9e79-466b-a67d-763ec7c9e3ff"/>
    <ds:schemaRef ds:uri="079a31d8-35ea-482a-87e4-613f6177b9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C8BB11-7F50-46C2-A189-B3DA24D7B3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Inverter calc 1200 V</vt:lpstr>
      <vt:lpstr>Inverter calc 1700 V</vt:lpstr>
    </vt:vector>
  </TitlesOfParts>
  <Manager/>
  <Company>KTH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Staffan Norrga</dc:creator>
  <cp:keywords/>
  <dc:description/>
  <cp:lastModifiedBy>Enes AYAZ</cp:lastModifiedBy>
  <cp:revision/>
  <dcterms:created xsi:type="dcterms:W3CDTF">2021-07-09T12:55:02Z</dcterms:created>
  <dcterms:modified xsi:type="dcterms:W3CDTF">2023-04-12T16:11:15Z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0x0101005C34D0F30FA3894B96D2C6082BB46A56</vt:lpwstr>
  </property>
  <property fmtid="{D5CDD505-2E9C-101B-9397-08002B2CF9AE}" pid="3" name="MediaServiceImageTags">
    <vt:lpwstr/>
  </property>
</Properties>
</file>