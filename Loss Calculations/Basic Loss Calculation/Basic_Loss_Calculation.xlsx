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C29" i="1" s="1"/>
  <c r="D17" i="1"/>
  <c r="D16" i="1"/>
  <c r="D15" i="1"/>
  <c r="D14" i="1"/>
  <c r="D13" i="1"/>
  <c r="O13" i="1"/>
  <c r="O10" i="1"/>
  <c r="N13" i="1"/>
  <c r="N10" i="1"/>
  <c r="M13" i="1"/>
  <c r="M10" i="1"/>
  <c r="C30" i="1" l="1"/>
  <c r="B6" i="1" l="1"/>
  <c r="B8" i="1" s="1"/>
  <c r="D29" i="1" s="1"/>
  <c r="B9" i="1" l="1"/>
  <c r="D30" i="1"/>
  <c r="E30" i="1" s="1"/>
  <c r="F30" i="1" s="1"/>
  <c r="E29" i="1"/>
  <c r="F29" i="1" s="1"/>
  <c r="C33" i="1" l="1"/>
  <c r="C36" i="1" s="1"/>
  <c r="C39" i="1" s="1"/>
  <c r="C32" i="1"/>
  <c r="C35" i="1" s="1"/>
  <c r="C38" i="1" s="1"/>
</calcChain>
</file>

<file path=xl/sharedStrings.xml><?xml version="1.0" encoding="utf-8"?>
<sst xmlns="http://schemas.openxmlformats.org/spreadsheetml/2006/main" count="97" uniqueCount="64">
  <si>
    <t>Power</t>
  </si>
  <si>
    <t>kW</t>
  </si>
  <si>
    <t>Voltage</t>
  </si>
  <si>
    <t>V</t>
  </si>
  <si>
    <t>Number of Phases</t>
  </si>
  <si>
    <t>A</t>
  </si>
  <si>
    <t>A-peak</t>
  </si>
  <si>
    <t>Phase Voltage</t>
  </si>
  <si>
    <t>Maximum modulation</t>
  </si>
  <si>
    <t>PhaseCurrent</t>
  </si>
  <si>
    <t>Power Factor</t>
  </si>
  <si>
    <t>V-peak</t>
  </si>
  <si>
    <t>A-rms</t>
  </si>
  <si>
    <t>BV</t>
  </si>
  <si>
    <t>RDSon25</t>
  </si>
  <si>
    <t>mohm</t>
  </si>
  <si>
    <t>Rds0n</t>
  </si>
  <si>
    <t>25 C</t>
  </si>
  <si>
    <t>RDSon125</t>
  </si>
  <si>
    <t>125 C</t>
  </si>
  <si>
    <t>CAB500M17HM3</t>
  </si>
  <si>
    <t>Ids</t>
  </si>
  <si>
    <t xml:space="preserve">Eon </t>
  </si>
  <si>
    <t xml:space="preserve">Eoff </t>
  </si>
  <si>
    <t>Esw</t>
  </si>
  <si>
    <t>Test Voltage</t>
  </si>
  <si>
    <t>mJ</t>
  </si>
  <si>
    <t>Eon 25</t>
  </si>
  <si>
    <t>Eoff 25</t>
  </si>
  <si>
    <t>Esw 25</t>
  </si>
  <si>
    <t>Eon 125</t>
  </si>
  <si>
    <t>Eoff 125</t>
  </si>
  <si>
    <t>Esw 125</t>
  </si>
  <si>
    <t>Blocking voltage</t>
  </si>
  <si>
    <t>On-state resistance 25C</t>
  </si>
  <si>
    <t>On-state resistance 125C</t>
  </si>
  <si>
    <t>Turn-on Energy 25C</t>
  </si>
  <si>
    <t>Turn-off Energy 25C</t>
  </si>
  <si>
    <t>Turn-on Energy 125C</t>
  </si>
  <si>
    <t>Turn-off Energy 125C</t>
  </si>
  <si>
    <t>Switching Energy 25C</t>
  </si>
  <si>
    <t>Switching Energy 125C</t>
  </si>
  <si>
    <t>Datasheet Test Voltage</t>
  </si>
  <si>
    <t>TV</t>
  </si>
  <si>
    <t>Test Current</t>
  </si>
  <si>
    <t>Datasheet Test Current</t>
  </si>
  <si>
    <t>TC</t>
  </si>
  <si>
    <t>Switching frequency</t>
  </si>
  <si>
    <t>kHz</t>
  </si>
  <si>
    <t>Switching Losses 25</t>
  </si>
  <si>
    <t xml:space="preserve">Switching Losses 125 </t>
  </si>
  <si>
    <t>Datasheet Current-peak</t>
  </si>
  <si>
    <t>Phase Current Peak</t>
  </si>
  <si>
    <t>Average</t>
  </si>
  <si>
    <t>Test Voltage Normalization</t>
  </si>
  <si>
    <t>Conduction Losses 25</t>
  </si>
  <si>
    <t>Conduction Losses 125</t>
  </si>
  <si>
    <t>Total Losses 25</t>
  </si>
  <si>
    <t>Total Losses 125</t>
  </si>
  <si>
    <t>Efficiency 25</t>
  </si>
  <si>
    <t>Efficiency 125</t>
  </si>
  <si>
    <t>CAS380M17HM3</t>
  </si>
  <si>
    <t>WAS310M17BM3</t>
  </si>
  <si>
    <t>FF3MR20KM1H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</si>
</sst>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1" fontId="3" fillId="0" borderId="0" xfId="0" applyNumberFormat="1" applyFont="1" applyAlignment="1"/>
    <xf numFmtId="164" fontId="0" fillId="0" borderId="0" xfId="0" applyNumberFormat="1" applyFont="1" applyAlignment="1"/>
    <xf numFmtId="2" fontId="0" fillId="0" borderId="0" xfId="0" applyNumberFormat="1" applyFont="1" applyAlignment="1"/>
    <xf numFmtId="1" fontId="0" fillId="0" borderId="0" xfId="0" applyNumberFormat="1" applyFont="1" applyAlignment="1"/>
    <xf numFmtId="0" fontId="0" fillId="0" borderId="0" xfId="0" applyNumberFormat="1" applyFont="1" applyAlignmen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9"/>
  <sheetViews>
    <sheetView tabSelected="1" topLeftCell="A4" workbookViewId="0">
      <selection activeCell="J24" sqref="J24"/>
    </sheetView>
  </sheetViews>
  <sheetFormatPr defaultRowHeight="15" x14ac:dyDescent="0.25"/>
  <cols>
    <col min="1" max="1" width="28.85546875" bestFit="1" customWidth="1"/>
    <col min="2" max="2" width="12" bestFit="1" customWidth="1"/>
    <col min="3" max="3" width="22.5703125" bestFit="1" customWidth="1"/>
    <col min="4" max="4" width="18.42578125" bestFit="1" customWidth="1"/>
    <col min="5" max="5" width="12" bestFit="1" customWidth="1"/>
    <col min="6" max="6" width="25.5703125" bestFit="1" customWidth="1"/>
    <col min="10" max="10" width="12" bestFit="1" customWidth="1"/>
    <col min="12" max="12" width="16.85546875" bestFit="1" customWidth="1"/>
    <col min="13" max="13" width="20.42578125" customWidth="1"/>
    <col min="14" max="14" width="16.85546875" bestFit="1" customWidth="1"/>
    <col min="15" max="15" width="15.85546875" bestFit="1" customWidth="1"/>
    <col min="16" max="16" width="14.42578125" bestFit="1" customWidth="1"/>
  </cols>
  <sheetData>
    <row r="2" spans="1:16" x14ac:dyDescent="0.25">
      <c r="A2" s="3" t="s">
        <v>0</v>
      </c>
      <c r="B2" s="4">
        <v>300</v>
      </c>
      <c r="C2" s="4" t="s">
        <v>1</v>
      </c>
    </row>
    <row r="3" spans="1:16" x14ac:dyDescent="0.25">
      <c r="A3" s="3" t="s">
        <v>2</v>
      </c>
      <c r="B3" s="4">
        <v>1200</v>
      </c>
      <c r="C3" s="4" t="s">
        <v>3</v>
      </c>
      <c r="J3" s="2"/>
      <c r="K3" s="2"/>
      <c r="L3" s="2"/>
      <c r="M3" s="12" t="s">
        <v>20</v>
      </c>
      <c r="N3" s="12" t="s">
        <v>61</v>
      </c>
      <c r="O3" s="1" t="s">
        <v>62</v>
      </c>
      <c r="P3" s="1" t="s">
        <v>63</v>
      </c>
    </row>
    <row r="4" spans="1:16" x14ac:dyDescent="0.25">
      <c r="A4" s="3" t="s">
        <v>4</v>
      </c>
      <c r="B4" s="4">
        <v>3</v>
      </c>
      <c r="C4" s="4"/>
      <c r="J4" s="5" t="s">
        <v>21</v>
      </c>
      <c r="K4" s="2"/>
      <c r="L4" s="6" t="s">
        <v>5</v>
      </c>
      <c r="M4" s="8">
        <v>500</v>
      </c>
      <c r="N4" s="8">
        <v>380</v>
      </c>
      <c r="O4">
        <v>310</v>
      </c>
      <c r="P4">
        <v>400</v>
      </c>
    </row>
    <row r="5" spans="1:16" x14ac:dyDescent="0.25">
      <c r="A5" s="3" t="s">
        <v>8</v>
      </c>
      <c r="B5" s="4">
        <v>1.1499999999999999</v>
      </c>
      <c r="C5" s="4"/>
      <c r="J5" s="5" t="s">
        <v>13</v>
      </c>
      <c r="K5" s="5"/>
      <c r="L5" s="6" t="s">
        <v>3</v>
      </c>
      <c r="M5" s="8">
        <v>1700</v>
      </c>
      <c r="N5" s="8">
        <v>1700</v>
      </c>
      <c r="O5">
        <v>1700</v>
      </c>
      <c r="P5">
        <v>2000</v>
      </c>
    </row>
    <row r="6" spans="1:16" x14ac:dyDescent="0.25">
      <c r="A6" s="3" t="s">
        <v>7</v>
      </c>
      <c r="B6" s="4">
        <f>(B3/2)*B5</f>
        <v>690</v>
      </c>
      <c r="C6" s="4" t="s">
        <v>11</v>
      </c>
      <c r="J6" s="5" t="s">
        <v>16</v>
      </c>
      <c r="K6" s="6" t="s">
        <v>17</v>
      </c>
      <c r="L6" s="6" t="s">
        <v>15</v>
      </c>
      <c r="M6" s="8">
        <v>2.2000000000000002</v>
      </c>
      <c r="N6" s="8">
        <v>3</v>
      </c>
      <c r="O6">
        <v>4.7</v>
      </c>
      <c r="P6">
        <v>2.6</v>
      </c>
    </row>
    <row r="7" spans="1:16" x14ac:dyDescent="0.25">
      <c r="A7" s="3" t="s">
        <v>10</v>
      </c>
      <c r="B7">
        <v>0.9</v>
      </c>
      <c r="J7" s="13" t="s">
        <v>16</v>
      </c>
      <c r="K7" s="7" t="s">
        <v>19</v>
      </c>
      <c r="L7" s="6" t="s">
        <v>15</v>
      </c>
      <c r="M7" s="14">
        <v>3.6</v>
      </c>
      <c r="N7" s="14">
        <v>5</v>
      </c>
      <c r="O7">
        <v>8</v>
      </c>
      <c r="P7">
        <v>5.5</v>
      </c>
    </row>
    <row r="8" spans="1:16" x14ac:dyDescent="0.25">
      <c r="A8" s="3" t="s">
        <v>9</v>
      </c>
      <c r="B8" s="4">
        <f>2*B2*1000/B4/B6/B7</f>
        <v>322.06119162640903</v>
      </c>
      <c r="C8" s="4" t="s">
        <v>6</v>
      </c>
      <c r="J8" s="11" t="s">
        <v>22</v>
      </c>
      <c r="K8" s="2" t="s">
        <v>17</v>
      </c>
      <c r="L8" s="6" t="s">
        <v>26</v>
      </c>
      <c r="M8" s="8">
        <v>20</v>
      </c>
      <c r="N8" s="8">
        <v>12</v>
      </c>
      <c r="O8">
        <v>7.5</v>
      </c>
      <c r="P8">
        <v>45</v>
      </c>
    </row>
    <row r="9" spans="1:16" x14ac:dyDescent="0.25">
      <c r="A9" s="3" t="s">
        <v>9</v>
      </c>
      <c r="B9" s="4">
        <f>B8/SQRT(2)</f>
        <v>227.73165255605394</v>
      </c>
      <c r="C9" s="4" t="s">
        <v>12</v>
      </c>
      <c r="J9" s="11" t="s">
        <v>23</v>
      </c>
      <c r="K9" s="2" t="s">
        <v>17</v>
      </c>
      <c r="L9" s="6" t="s">
        <v>26</v>
      </c>
      <c r="M9" s="8">
        <v>10</v>
      </c>
      <c r="N9" s="8">
        <v>4</v>
      </c>
      <c r="O9">
        <v>10</v>
      </c>
      <c r="P9">
        <v>20</v>
      </c>
    </row>
    <row r="10" spans="1:16" x14ac:dyDescent="0.25">
      <c r="A10" s="3" t="s">
        <v>47</v>
      </c>
      <c r="B10" s="4">
        <v>5</v>
      </c>
      <c r="C10" s="4" t="s">
        <v>48</v>
      </c>
      <c r="J10" s="11" t="s">
        <v>24</v>
      </c>
      <c r="K10" s="2" t="s">
        <v>17</v>
      </c>
      <c r="L10" s="6" t="s">
        <v>26</v>
      </c>
      <c r="M10" s="15">
        <f>M8+M9</f>
        <v>30</v>
      </c>
      <c r="N10" s="15">
        <f>N8+N9</f>
        <v>16</v>
      </c>
      <c r="O10">
        <f>O8+O9</f>
        <v>17.5</v>
      </c>
      <c r="P10">
        <v>65</v>
      </c>
    </row>
    <row r="11" spans="1:16" x14ac:dyDescent="0.25">
      <c r="A11" s="4"/>
      <c r="B11" s="4"/>
      <c r="C11" s="4"/>
      <c r="J11" s="11" t="s">
        <v>22</v>
      </c>
      <c r="K11" s="2" t="s">
        <v>19</v>
      </c>
      <c r="L11" s="6" t="s">
        <v>26</v>
      </c>
      <c r="M11" s="15">
        <v>22.5</v>
      </c>
      <c r="N11" s="15">
        <v>13.2</v>
      </c>
      <c r="O11">
        <v>9</v>
      </c>
      <c r="P11">
        <v>50</v>
      </c>
    </row>
    <row r="12" spans="1:16" x14ac:dyDescent="0.25">
      <c r="B12" s="6"/>
      <c r="C12" s="2"/>
      <c r="D12" s="2" t="s">
        <v>63</v>
      </c>
      <c r="J12" s="11" t="s">
        <v>23</v>
      </c>
      <c r="K12" s="2" t="s">
        <v>19</v>
      </c>
      <c r="L12" s="6" t="s">
        <v>26</v>
      </c>
      <c r="M12" s="16">
        <v>10</v>
      </c>
      <c r="N12" s="16">
        <v>4</v>
      </c>
      <c r="O12">
        <v>10</v>
      </c>
      <c r="P12">
        <v>20</v>
      </c>
    </row>
    <row r="13" spans="1:16" x14ac:dyDescent="0.25">
      <c r="A13" s="1" t="s">
        <v>33</v>
      </c>
      <c r="B13" s="6" t="s">
        <v>13</v>
      </c>
      <c r="C13" s="2" t="s">
        <v>3</v>
      </c>
      <c r="D13" s="2">
        <f>HLOOKUP($D$12,$M$3:$NR$16,3,FALSE)</f>
        <v>2000</v>
      </c>
      <c r="J13" s="11" t="s">
        <v>24</v>
      </c>
      <c r="K13" s="2" t="s">
        <v>19</v>
      </c>
      <c r="L13" s="6" t="s">
        <v>26</v>
      </c>
      <c r="M13" s="18">
        <f>M11+M12</f>
        <v>32.5</v>
      </c>
      <c r="N13" s="17">
        <f>N11+N12</f>
        <v>17.2</v>
      </c>
      <c r="O13">
        <f>O11+O12</f>
        <v>19</v>
      </c>
      <c r="P13">
        <v>70</v>
      </c>
    </row>
    <row r="14" spans="1:16" x14ac:dyDescent="0.25">
      <c r="A14" s="1" t="s">
        <v>34</v>
      </c>
      <c r="B14" s="6" t="s">
        <v>14</v>
      </c>
      <c r="C14" s="2" t="s">
        <v>15</v>
      </c>
      <c r="D14" s="2">
        <f>HLOOKUP($D$12,$M$3:$R$16,4,FALSE)</f>
        <v>2.6</v>
      </c>
      <c r="J14" s="5" t="s">
        <v>25</v>
      </c>
      <c r="K14" s="5"/>
      <c r="L14" s="6" t="s">
        <v>3</v>
      </c>
      <c r="M14" s="17">
        <v>1200</v>
      </c>
      <c r="N14" s="17">
        <v>1200</v>
      </c>
      <c r="O14">
        <v>1200</v>
      </c>
      <c r="P14">
        <v>1200</v>
      </c>
    </row>
    <row r="15" spans="1:16" x14ac:dyDescent="0.25">
      <c r="A15" s="1" t="s">
        <v>35</v>
      </c>
      <c r="B15" s="6" t="s">
        <v>18</v>
      </c>
      <c r="C15" s="2" t="s">
        <v>15</v>
      </c>
      <c r="D15" s="2">
        <f>HLOOKUP($D$12,$M$3:$R$16,5,FALSE)</f>
        <v>5.5</v>
      </c>
      <c r="J15" s="11" t="s">
        <v>44</v>
      </c>
      <c r="L15" s="6" t="s">
        <v>5</v>
      </c>
      <c r="M15" s="9">
        <v>250</v>
      </c>
      <c r="N15" s="9">
        <v>300</v>
      </c>
      <c r="O15">
        <v>300</v>
      </c>
      <c r="P15">
        <v>300</v>
      </c>
    </row>
    <row r="16" spans="1:16" x14ac:dyDescent="0.25">
      <c r="A16" s="1" t="s">
        <v>36</v>
      </c>
      <c r="B16" s="10" t="s">
        <v>27</v>
      </c>
      <c r="C16" s="2" t="s">
        <v>26</v>
      </c>
      <c r="D16" s="2">
        <f>HLOOKUP($D$12,$M$3:$R$16,6,FALSE)</f>
        <v>45</v>
      </c>
      <c r="L16" s="2"/>
      <c r="M16" s="2"/>
      <c r="N16" s="2"/>
    </row>
    <row r="17" spans="1:6" x14ac:dyDescent="0.25">
      <c r="A17" s="1" t="s">
        <v>37</v>
      </c>
      <c r="B17" s="10" t="s">
        <v>28</v>
      </c>
      <c r="C17" s="2" t="s">
        <v>26</v>
      </c>
      <c r="D17" s="2">
        <f>HLOOKUP($D$12,$M$3:$R$16,7,FALSE)</f>
        <v>20</v>
      </c>
    </row>
    <row r="18" spans="1:6" x14ac:dyDescent="0.25">
      <c r="A18" s="3" t="s">
        <v>40</v>
      </c>
      <c r="B18" s="10" t="s">
        <v>29</v>
      </c>
      <c r="C18" s="2" t="s">
        <v>26</v>
      </c>
      <c r="D18" s="2">
        <f>HLOOKUP($D$12,$M$3:$R$16,8,FALSE)</f>
        <v>65</v>
      </c>
    </row>
    <row r="19" spans="1:6" x14ac:dyDescent="0.25">
      <c r="A19" s="1" t="s">
        <v>38</v>
      </c>
      <c r="B19" s="10" t="s">
        <v>30</v>
      </c>
      <c r="C19" s="2" t="s">
        <v>26</v>
      </c>
      <c r="D19" s="2">
        <f>HLOOKUP($D$12,$M$3:$R$16,9,FALSE)</f>
        <v>50</v>
      </c>
    </row>
    <row r="20" spans="1:6" x14ac:dyDescent="0.25">
      <c r="A20" s="1" t="s">
        <v>39</v>
      </c>
      <c r="B20" s="10" t="s">
        <v>31</v>
      </c>
      <c r="C20" s="2" t="s">
        <v>26</v>
      </c>
      <c r="D20" s="2">
        <f>HLOOKUP($D$12,$M$3:$R$16,10,FALSE)</f>
        <v>20</v>
      </c>
    </row>
    <row r="21" spans="1:6" x14ac:dyDescent="0.25">
      <c r="A21" s="3" t="s">
        <v>41</v>
      </c>
      <c r="B21" s="10" t="s">
        <v>32</v>
      </c>
      <c r="C21" s="2" t="s">
        <v>26</v>
      </c>
      <c r="D21" s="2">
        <f>HLOOKUP($D$12,$M$3:$R$16,11,FALSE)</f>
        <v>70</v>
      </c>
    </row>
    <row r="22" spans="1:6" x14ac:dyDescent="0.25">
      <c r="A22" s="1" t="s">
        <v>42</v>
      </c>
      <c r="B22" s="6" t="s">
        <v>43</v>
      </c>
      <c r="C22" s="2" t="s">
        <v>3</v>
      </c>
      <c r="D22" s="2">
        <f>HLOOKUP($D$12,$M$3:$R$16,12,FALSE)</f>
        <v>1200</v>
      </c>
    </row>
    <row r="23" spans="1:6" x14ac:dyDescent="0.25">
      <c r="A23" s="1" t="s">
        <v>45</v>
      </c>
      <c r="B23" s="10" t="s">
        <v>46</v>
      </c>
      <c r="C23" s="2" t="s">
        <v>5</v>
      </c>
      <c r="D23" s="2">
        <f>HLOOKUP($D$12,$M$3:$R$16,13,FALSE)</f>
        <v>300</v>
      </c>
    </row>
    <row r="28" spans="1:6" x14ac:dyDescent="0.25">
      <c r="C28" s="1" t="s">
        <v>51</v>
      </c>
      <c r="D28" s="1" t="s">
        <v>52</v>
      </c>
      <c r="E28" s="1" t="s">
        <v>53</v>
      </c>
      <c r="F28" s="1" t="s">
        <v>54</v>
      </c>
    </row>
    <row r="29" spans="1:6" x14ac:dyDescent="0.25">
      <c r="A29" s="1" t="s">
        <v>49</v>
      </c>
      <c r="C29">
        <f xml:space="preserve"> D18*B10*B4</f>
        <v>975</v>
      </c>
      <c r="D29">
        <f>C29*B8/D23</f>
        <v>1046.6988727858295</v>
      </c>
      <c r="E29">
        <f>D29*2/3.14</f>
        <v>666.68718011836268</v>
      </c>
      <c r="F29">
        <f>E29*(B3/D22)^1.5</f>
        <v>666.68718011836268</v>
      </c>
    </row>
    <row r="30" spans="1:6" x14ac:dyDescent="0.25">
      <c r="A30" s="1" t="s">
        <v>50</v>
      </c>
      <c r="C30">
        <f>D21*B10*B4</f>
        <v>1050</v>
      </c>
      <c r="D30">
        <f>C30*B8/D23</f>
        <v>1127.2141706924315</v>
      </c>
      <c r="E30">
        <f>D30*2/3.14</f>
        <v>717.97080935823658</v>
      </c>
      <c r="F30">
        <f>E30*(B3/D22)^1.5</f>
        <v>717.97080935823658</v>
      </c>
    </row>
    <row r="32" spans="1:6" x14ac:dyDescent="0.25">
      <c r="A32" s="1" t="s">
        <v>55</v>
      </c>
      <c r="C32">
        <f>B9*B9*D14/1000*B4</f>
        <v>404.5213034921079</v>
      </c>
    </row>
    <row r="33" spans="1:3" x14ac:dyDescent="0.25">
      <c r="A33" s="1" t="s">
        <v>56</v>
      </c>
      <c r="C33">
        <f>B9*B9*D15/1000*B4</f>
        <v>855.71814200253584</v>
      </c>
    </row>
    <row r="35" spans="1:3" x14ac:dyDescent="0.25">
      <c r="A35" s="1" t="s">
        <v>57</v>
      </c>
      <c r="C35">
        <f>C32+F29</f>
        <v>1071.2084836104705</v>
      </c>
    </row>
    <row r="36" spans="1:3" x14ac:dyDescent="0.25">
      <c r="A36" s="1" t="s">
        <v>58</v>
      </c>
      <c r="C36">
        <f>C33+F30</f>
        <v>1573.6889513607725</v>
      </c>
    </row>
    <row r="38" spans="1:3" x14ac:dyDescent="0.25">
      <c r="A38" s="1" t="s">
        <v>59</v>
      </c>
      <c r="C38" s="19">
        <f>100*(B2*1000-C35)/B2/1000</f>
        <v>99.64293050546317</v>
      </c>
    </row>
    <row r="39" spans="1:3" x14ac:dyDescent="0.25">
      <c r="A39" s="1" t="s">
        <v>60</v>
      </c>
      <c r="C39" s="19">
        <f>100*(B2*1000-C36)/B2/1000</f>
        <v>99.475437016213078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2023-10-23T11:19:48Z</dcterms:modified>
</cp:coreProperties>
</file>