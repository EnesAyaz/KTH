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1" l="1"/>
  <c r="C27" i="1"/>
  <c r="C26" i="1"/>
  <c r="C25" i="1"/>
  <c r="C13" i="1"/>
  <c r="C12" i="1"/>
  <c r="C11" i="1"/>
  <c r="C10" i="1"/>
  <c r="C6" i="1"/>
  <c r="C5" i="1"/>
  <c r="C4" i="1"/>
  <c r="C3" i="1"/>
  <c r="C21" i="1"/>
  <c r="C20" i="1"/>
  <c r="E20" i="1" s="1"/>
  <c r="C19" i="1"/>
  <c r="E19" i="1" s="1"/>
  <c r="C18" i="1"/>
  <c r="E18" i="1" s="1"/>
  <c r="D13" i="1"/>
  <c r="D12" i="1"/>
  <c r="D11" i="1"/>
  <c r="E11" i="1" s="1"/>
  <c r="D10" i="1"/>
  <c r="D6" i="1"/>
  <c r="D5" i="1"/>
  <c r="E5" i="1" s="1"/>
  <c r="D4" i="1"/>
  <c r="D3" i="1"/>
  <c r="D28" i="1"/>
  <c r="E28" i="1" s="1"/>
  <c r="D27" i="1"/>
  <c r="D26" i="1"/>
  <c r="D25" i="1"/>
  <c r="D21" i="1"/>
  <c r="D20" i="1"/>
  <c r="D19" i="1"/>
  <c r="D18" i="1"/>
  <c r="B28" i="1"/>
  <c r="B27" i="1"/>
  <c r="B26" i="1"/>
  <c r="B25" i="1"/>
  <c r="B24" i="1"/>
  <c r="B21" i="1"/>
  <c r="B20" i="1"/>
  <c r="B19" i="1"/>
  <c r="B18" i="1"/>
  <c r="B17" i="1"/>
  <c r="E24" i="1"/>
  <c r="E23" i="1"/>
  <c r="E22" i="1"/>
  <c r="E17" i="1"/>
  <c r="E7" i="1"/>
  <c r="E8" i="1"/>
  <c r="E9" i="1"/>
  <c r="B13" i="1"/>
  <c r="B12" i="1"/>
  <c r="B11" i="1"/>
  <c r="B10" i="1"/>
  <c r="B9" i="1"/>
  <c r="E2" i="1"/>
  <c r="B6" i="1"/>
  <c r="B5" i="1"/>
  <c r="B4" i="1"/>
  <c r="B3" i="1"/>
  <c r="B2" i="1"/>
  <c r="E10" i="1" l="1"/>
  <c r="E12" i="1"/>
  <c r="E13" i="1"/>
  <c r="E3" i="1"/>
  <c r="E4" i="1"/>
  <c r="E6" i="1"/>
  <c r="E25" i="1"/>
  <c r="E26" i="1"/>
  <c r="E27" i="1"/>
  <c r="E21" i="1"/>
</calcChain>
</file>

<file path=xl/sharedStrings.xml><?xml version="1.0" encoding="utf-8"?>
<sst xmlns="http://schemas.openxmlformats.org/spreadsheetml/2006/main" count="29" uniqueCount="11">
  <si>
    <t>Switching Frequency</t>
  </si>
  <si>
    <t xml:space="preserve">Modulation Type </t>
  </si>
  <si>
    <t>SPWM</t>
  </si>
  <si>
    <t>Conduction Loss</t>
  </si>
  <si>
    <t>Switching Loss</t>
  </si>
  <si>
    <t>Total Loss</t>
  </si>
  <si>
    <t>Die Area</t>
  </si>
  <si>
    <t>THPWM</t>
  </si>
  <si>
    <t>Only SPWM losses can be taken</t>
  </si>
  <si>
    <t xml:space="preserve"> Operating point 1</t>
  </si>
  <si>
    <t xml:space="preserve"> Operating point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</si>
</sst>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O26" sqref="O26"/>
    </sheetView>
  </sheetViews>
  <sheetFormatPr defaultRowHeight="15" x14ac:dyDescent="0.25"/>
  <cols>
    <col min="1" max="1" width="16.7109375" bestFit="1" customWidth="1"/>
    <col min="2" max="2" width="19.5703125" bestFit="1" customWidth="1"/>
    <col min="3" max="3" width="15.42578125" bestFit="1" customWidth="1"/>
    <col min="4" max="4" width="13.85546875" bestFit="1" customWidth="1"/>
  </cols>
  <sheetData>
    <row r="1" spans="1:11" x14ac:dyDescent="0.25">
      <c r="A1" s="1" t="s">
        <v>1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</row>
    <row r="2" spans="1:11" x14ac:dyDescent="0.25">
      <c r="A2" t="s">
        <v>2</v>
      </c>
      <c r="B2">
        <f>34*300*1</f>
        <v>10200</v>
      </c>
      <c r="C2">
        <v>451</v>
      </c>
      <c r="D2">
        <v>367</v>
      </c>
      <c r="E2">
        <f>C2+D2</f>
        <v>818</v>
      </c>
      <c r="F2">
        <v>300</v>
      </c>
    </row>
    <row r="3" spans="1:11" x14ac:dyDescent="0.25">
      <c r="A3" t="s">
        <v>2</v>
      </c>
      <c r="B3">
        <f>34*300*1.5</f>
        <v>15300</v>
      </c>
      <c r="C3">
        <f>C2</f>
        <v>451</v>
      </c>
      <c r="D3">
        <f>D2*1.5</f>
        <v>550.5</v>
      </c>
      <c r="E3">
        <f t="shared" ref="E3:E13" si="0">C3+D3</f>
        <v>1001.5</v>
      </c>
      <c r="F3">
        <v>300</v>
      </c>
      <c r="K3" t="s">
        <v>8</v>
      </c>
    </row>
    <row r="4" spans="1:11" x14ac:dyDescent="0.25">
      <c r="A4" t="s">
        <v>2</v>
      </c>
      <c r="B4">
        <f>34*300*2</f>
        <v>20400</v>
      </c>
      <c r="C4">
        <f>C2</f>
        <v>451</v>
      </c>
      <c r="D4">
        <f>D2*2</f>
        <v>734</v>
      </c>
      <c r="E4">
        <f t="shared" si="0"/>
        <v>1185</v>
      </c>
      <c r="F4">
        <v>300</v>
      </c>
    </row>
    <row r="5" spans="1:11" x14ac:dyDescent="0.25">
      <c r="A5" t="s">
        <v>2</v>
      </c>
      <c r="B5">
        <f>34*300*2.5</f>
        <v>25500</v>
      </c>
      <c r="C5">
        <f>C2</f>
        <v>451</v>
      </c>
      <c r="D5">
        <f>D2*2.5</f>
        <v>917.5</v>
      </c>
      <c r="E5">
        <f t="shared" si="0"/>
        <v>1368.5</v>
      </c>
      <c r="F5">
        <v>300</v>
      </c>
    </row>
    <row r="6" spans="1:11" x14ac:dyDescent="0.25">
      <c r="A6" t="s">
        <v>2</v>
      </c>
      <c r="B6">
        <f>34*300*3</f>
        <v>30600</v>
      </c>
      <c r="C6">
        <f>C2</f>
        <v>451</v>
      </c>
      <c r="D6">
        <f>D2*3</f>
        <v>1101</v>
      </c>
      <c r="E6">
        <f t="shared" si="0"/>
        <v>1552</v>
      </c>
      <c r="F6">
        <v>300</v>
      </c>
    </row>
    <row r="7" spans="1:11" x14ac:dyDescent="0.25">
      <c r="E7">
        <f t="shared" si="0"/>
        <v>0</v>
      </c>
      <c r="H7" s="1"/>
      <c r="I7" t="s">
        <v>9</v>
      </c>
    </row>
    <row r="8" spans="1:11" x14ac:dyDescent="0.25">
      <c r="E8">
        <f t="shared" si="0"/>
        <v>0</v>
      </c>
      <c r="H8" s="1"/>
    </row>
    <row r="9" spans="1:11" x14ac:dyDescent="0.25">
      <c r="A9" t="s">
        <v>7</v>
      </c>
      <c r="B9">
        <f>34*300*1</f>
        <v>10200</v>
      </c>
      <c r="C9">
        <v>455</v>
      </c>
      <c r="D9">
        <v>369</v>
      </c>
      <c r="E9">
        <f t="shared" si="0"/>
        <v>824</v>
      </c>
      <c r="F9">
        <v>300</v>
      </c>
      <c r="H9" s="1"/>
    </row>
    <row r="10" spans="1:11" x14ac:dyDescent="0.25">
      <c r="A10" t="s">
        <v>7</v>
      </c>
      <c r="B10">
        <f>34*300*1.5</f>
        <v>15300</v>
      </c>
      <c r="C10">
        <f>C9</f>
        <v>455</v>
      </c>
      <c r="D10">
        <f>D9*1.5</f>
        <v>553.5</v>
      </c>
      <c r="E10">
        <f t="shared" si="0"/>
        <v>1008.5</v>
      </c>
      <c r="F10">
        <v>300</v>
      </c>
      <c r="H10" s="1"/>
    </row>
    <row r="11" spans="1:11" x14ac:dyDescent="0.25">
      <c r="A11" t="s">
        <v>7</v>
      </c>
      <c r="B11">
        <f>34*300*2</f>
        <v>20400</v>
      </c>
      <c r="C11">
        <f>C9</f>
        <v>455</v>
      </c>
      <c r="D11">
        <f>D9*2</f>
        <v>738</v>
      </c>
      <c r="E11">
        <f t="shared" si="0"/>
        <v>1193</v>
      </c>
      <c r="F11">
        <v>300</v>
      </c>
      <c r="H11" s="1"/>
    </row>
    <row r="12" spans="1:11" x14ac:dyDescent="0.25">
      <c r="A12" t="s">
        <v>7</v>
      </c>
      <c r="B12">
        <f>34*300*2.5</f>
        <v>25500</v>
      </c>
      <c r="C12">
        <f>C9</f>
        <v>455</v>
      </c>
      <c r="D12">
        <f>D9*2.5</f>
        <v>922.5</v>
      </c>
      <c r="E12">
        <f t="shared" si="0"/>
        <v>1377.5</v>
      </c>
      <c r="F12">
        <v>300</v>
      </c>
      <c r="H12" s="1"/>
    </row>
    <row r="13" spans="1:11" x14ac:dyDescent="0.25">
      <c r="A13" t="s">
        <v>7</v>
      </c>
      <c r="B13">
        <f>34*300*3</f>
        <v>30600</v>
      </c>
      <c r="C13">
        <f>C9</f>
        <v>455</v>
      </c>
      <c r="D13">
        <f>D9*3</f>
        <v>1107</v>
      </c>
      <c r="E13">
        <f t="shared" si="0"/>
        <v>1562</v>
      </c>
      <c r="F13">
        <v>300</v>
      </c>
      <c r="H13" s="1"/>
    </row>
    <row r="14" spans="1:11" x14ac:dyDescent="0.25">
      <c r="H14" s="1"/>
    </row>
    <row r="15" spans="1:11" x14ac:dyDescent="0.25">
      <c r="H15" s="1"/>
    </row>
    <row r="16" spans="1:11" x14ac:dyDescent="0.25">
      <c r="H16" s="1"/>
    </row>
    <row r="17" spans="1:9" x14ac:dyDescent="0.25">
      <c r="A17" t="s">
        <v>2</v>
      </c>
      <c r="B17">
        <f>20*500*1</f>
        <v>10000</v>
      </c>
      <c r="C17">
        <v>183</v>
      </c>
      <c r="D17">
        <v>232</v>
      </c>
      <c r="E17">
        <f>C17+D17</f>
        <v>415</v>
      </c>
      <c r="F17">
        <v>300</v>
      </c>
      <c r="H17" s="1"/>
    </row>
    <row r="18" spans="1:9" x14ac:dyDescent="0.25">
      <c r="A18" t="s">
        <v>2</v>
      </c>
      <c r="B18">
        <f>20*500*1.5</f>
        <v>15000</v>
      </c>
      <c r="C18">
        <f>C17</f>
        <v>183</v>
      </c>
      <c r="D18">
        <f>D17*1.5</f>
        <v>348</v>
      </c>
      <c r="E18">
        <f t="shared" ref="E18:E28" si="1">C18+D18</f>
        <v>531</v>
      </c>
      <c r="F18">
        <v>300</v>
      </c>
      <c r="H18" s="1"/>
    </row>
    <row r="19" spans="1:9" x14ac:dyDescent="0.25">
      <c r="A19" t="s">
        <v>2</v>
      </c>
      <c r="B19">
        <f>20*500*2</f>
        <v>20000</v>
      </c>
      <c r="C19">
        <f>C17</f>
        <v>183</v>
      </c>
      <c r="D19">
        <f>D17*2</f>
        <v>464</v>
      </c>
      <c r="E19">
        <f t="shared" si="1"/>
        <v>647</v>
      </c>
      <c r="F19">
        <v>300</v>
      </c>
      <c r="H19" s="1"/>
    </row>
    <row r="20" spans="1:9" x14ac:dyDescent="0.25">
      <c r="A20" t="s">
        <v>2</v>
      </c>
      <c r="B20">
        <f>20*500*2.5</f>
        <v>25000</v>
      </c>
      <c r="C20">
        <f>C17</f>
        <v>183</v>
      </c>
      <c r="D20">
        <f>D17*2.5</f>
        <v>580</v>
      </c>
      <c r="E20">
        <f t="shared" si="1"/>
        <v>763</v>
      </c>
      <c r="F20">
        <v>300</v>
      </c>
      <c r="H20" s="1"/>
    </row>
    <row r="21" spans="1:9" x14ac:dyDescent="0.25">
      <c r="A21" t="s">
        <v>2</v>
      </c>
      <c r="B21">
        <f>20*500*3</f>
        <v>30000</v>
      </c>
      <c r="C21">
        <f>C17</f>
        <v>183</v>
      </c>
      <c r="D21">
        <f>D17*3</f>
        <v>696</v>
      </c>
      <c r="E21">
        <f t="shared" si="1"/>
        <v>879</v>
      </c>
      <c r="F21">
        <v>300</v>
      </c>
      <c r="H21" s="1"/>
    </row>
    <row r="22" spans="1:9" x14ac:dyDescent="0.25">
      <c r="E22">
        <f t="shared" si="1"/>
        <v>0</v>
      </c>
      <c r="H22" s="1"/>
      <c r="I22" t="s">
        <v>10</v>
      </c>
    </row>
    <row r="23" spans="1:9" x14ac:dyDescent="0.25">
      <c r="E23">
        <f t="shared" si="1"/>
        <v>0</v>
      </c>
    </row>
    <row r="24" spans="1:9" x14ac:dyDescent="0.25">
      <c r="A24" t="s">
        <v>7</v>
      </c>
      <c r="B24">
        <f>20*500*1</f>
        <v>10000</v>
      </c>
      <c r="C24">
        <v>185</v>
      </c>
      <c r="D24">
        <v>235</v>
      </c>
      <c r="E24">
        <f t="shared" si="1"/>
        <v>420</v>
      </c>
      <c r="F24">
        <v>300</v>
      </c>
    </row>
    <row r="25" spans="1:9" x14ac:dyDescent="0.25">
      <c r="A25" t="s">
        <v>7</v>
      </c>
      <c r="B25">
        <f>20*500*1.5</f>
        <v>15000</v>
      </c>
      <c r="C25">
        <f>C24</f>
        <v>185</v>
      </c>
      <c r="D25">
        <f>D24*1.5</f>
        <v>352.5</v>
      </c>
      <c r="E25">
        <f t="shared" si="1"/>
        <v>537.5</v>
      </c>
      <c r="F25">
        <v>300</v>
      </c>
    </row>
    <row r="26" spans="1:9" x14ac:dyDescent="0.25">
      <c r="A26" t="s">
        <v>7</v>
      </c>
      <c r="B26">
        <f>20*500*2</f>
        <v>20000</v>
      </c>
      <c r="C26">
        <f>C24</f>
        <v>185</v>
      </c>
      <c r="D26">
        <f>D24*2</f>
        <v>470</v>
      </c>
      <c r="E26">
        <f t="shared" si="1"/>
        <v>655</v>
      </c>
      <c r="F26">
        <v>300</v>
      </c>
    </row>
    <row r="27" spans="1:9" x14ac:dyDescent="0.25">
      <c r="A27" t="s">
        <v>7</v>
      </c>
      <c r="B27">
        <f>20*500*2.5</f>
        <v>25000</v>
      </c>
      <c r="C27">
        <f>C24</f>
        <v>185</v>
      </c>
      <c r="D27">
        <f>D24*2.5</f>
        <v>587.5</v>
      </c>
      <c r="E27">
        <f t="shared" si="1"/>
        <v>772.5</v>
      </c>
      <c r="F27">
        <v>300</v>
      </c>
    </row>
    <row r="28" spans="1:9" x14ac:dyDescent="0.25">
      <c r="A28" t="s">
        <v>7</v>
      </c>
      <c r="B28">
        <f>20*500*3</f>
        <v>30000</v>
      </c>
      <c r="C28">
        <f>C24</f>
        <v>185</v>
      </c>
      <c r="D28">
        <f>D24*3</f>
        <v>705</v>
      </c>
      <c r="E28">
        <f t="shared" si="1"/>
        <v>890</v>
      </c>
      <c r="F28">
        <v>300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2024-11-07T10:36:53Z</dcterms:modified>
</cp:coreProperties>
</file>